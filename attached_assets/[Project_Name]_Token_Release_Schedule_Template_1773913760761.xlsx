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caspian/Desktop/发给项目方的/"/>
    </mc:Choice>
  </mc:AlternateContent>
  <xr:revisionPtr revIDLastSave="0" documentId="13_ncr:1_{A07FEE30-55EF-F444-9C5C-0B6EC33AF382}" xr6:coauthVersionLast="47" xr6:coauthVersionMax="47" xr10:uidLastSave="{00000000-0000-0000-0000-000000000000}"/>
  <bookViews>
    <workbookView xWindow="0" yWindow="500" windowWidth="38400" windowHeight="19240" activeTab="1" xr2:uid="{00000000-000D-0000-FFFF-FFFF00000000}"/>
  </bookViews>
  <sheets>
    <sheet name="Sheet1" sheetId="1" r:id="rId1"/>
    <sheet name="Project TRS V_01" sheetId="2" r:id="rId2"/>
    <sheet name="CMC" sheetId="3" r:id="rId3"/>
    <sheet name="Monetary Policy" sheetId="4" r:id="rId4"/>
    <sheet name="InvestorInsiders Breakdown" sheetId="5" r:id="rId5"/>
    <sheet name="Sheet2" sheetId="6" state="hidden" r:id="rId6"/>
    <sheet name="Token Template Model" sheetId="7" state="hidden" r:id="rId7"/>
    <sheet name="Simple Model" sheetId="8" state="hidden" r:id="rId8"/>
    <sheet name="Monetary Policy Detail" sheetId="9" state="hidden" r:id="rId9"/>
    <sheet name="Platform stats - Users adopti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8tRCgtH58yuNLNxs/oGbf2cwv/Tsk6ayb/AbQcV+27M="/>
    </ext>
  </extLst>
</workbook>
</file>

<file path=xl/calcChain.xml><?xml version="1.0" encoding="utf-8"?>
<calcChain xmlns="http://schemas.openxmlformats.org/spreadsheetml/2006/main">
  <c r="B4" i="10" l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J92" i="8"/>
  <c r="I92" i="8"/>
  <c r="H92" i="8"/>
  <c r="G90" i="8"/>
  <c r="K89" i="8"/>
  <c r="J89" i="8"/>
  <c r="J90" i="8" s="1"/>
  <c r="I89" i="8"/>
  <c r="I90" i="8" s="1"/>
  <c r="H89" i="8"/>
  <c r="H90" i="8" s="1"/>
  <c r="G89" i="8"/>
  <c r="G92" i="8" s="1"/>
  <c r="W80" i="8"/>
  <c r="X63" i="8"/>
  <c r="D52" i="8"/>
  <c r="T44" i="8"/>
  <c r="F40" i="8"/>
  <c r="F89" i="8" s="1"/>
  <c r="D40" i="8"/>
  <c r="D46" i="8" s="1"/>
  <c r="V36" i="8"/>
  <c r="U35" i="8"/>
  <c r="V34" i="8"/>
  <c r="D34" i="8"/>
  <c r="V32" i="8"/>
  <c r="E29" i="8"/>
  <c r="X28" i="8"/>
  <c r="W28" i="8"/>
  <c r="V28" i="8"/>
  <c r="U28" i="8"/>
  <c r="T28" i="8"/>
  <c r="S28" i="8"/>
  <c r="R28" i="8"/>
  <c r="Q28" i="8"/>
  <c r="P28" i="8"/>
  <c r="K28" i="8"/>
  <c r="J28" i="8"/>
  <c r="I28" i="8"/>
  <c r="H28" i="8"/>
  <c r="G28" i="8"/>
  <c r="F28" i="8"/>
  <c r="E28" i="8"/>
  <c r="D28" i="8"/>
  <c r="C28" i="8"/>
  <c r="K26" i="8"/>
  <c r="J26" i="8"/>
  <c r="I26" i="8"/>
  <c r="H26" i="8"/>
  <c r="G26" i="8"/>
  <c r="F26" i="8"/>
  <c r="E26" i="8"/>
  <c r="D26" i="8"/>
  <c r="K15" i="8"/>
  <c r="J15" i="8"/>
  <c r="I15" i="8"/>
  <c r="H15" i="8"/>
  <c r="G15" i="8"/>
  <c r="F15" i="8"/>
  <c r="E15" i="8"/>
  <c r="D15" i="8"/>
  <c r="C15" i="8"/>
  <c r="K12" i="8"/>
  <c r="J12" i="8"/>
  <c r="I12" i="8"/>
  <c r="H12" i="8"/>
  <c r="G12" i="8"/>
  <c r="F12" i="8"/>
  <c r="E12" i="8"/>
  <c r="D12" i="8"/>
  <c r="C9" i="8"/>
  <c r="L9" i="8" s="1"/>
  <c r="C3" i="8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J93" i="7"/>
  <c r="K92" i="7"/>
  <c r="J92" i="7"/>
  <c r="J95" i="7" s="1"/>
  <c r="H92" i="7"/>
  <c r="W82" i="7"/>
  <c r="U77" i="7"/>
  <c r="U73" i="7"/>
  <c r="W53" i="7"/>
  <c r="U52" i="7"/>
  <c r="U48" i="7"/>
  <c r="U45" i="7"/>
  <c r="U44" i="7"/>
  <c r="U40" i="7"/>
  <c r="S37" i="7"/>
  <c r="U32" i="7"/>
  <c r="X30" i="7"/>
  <c r="W30" i="7"/>
  <c r="V30" i="7"/>
  <c r="U30" i="7"/>
  <c r="T30" i="7"/>
  <c r="S30" i="7"/>
  <c r="R30" i="7"/>
  <c r="Q30" i="7"/>
  <c r="P30" i="7"/>
  <c r="K30" i="7"/>
  <c r="J30" i="7"/>
  <c r="I30" i="7"/>
  <c r="H30" i="7"/>
  <c r="G30" i="7"/>
  <c r="F30" i="7"/>
  <c r="E30" i="7"/>
  <c r="D30" i="7"/>
  <c r="C30" i="7"/>
  <c r="F27" i="7"/>
  <c r="D27" i="7"/>
  <c r="K26" i="7"/>
  <c r="G26" i="7"/>
  <c r="F26" i="7"/>
  <c r="K24" i="7"/>
  <c r="J24" i="7"/>
  <c r="J26" i="7" s="1"/>
  <c r="I24" i="7"/>
  <c r="I26" i="7" s="1"/>
  <c r="H24" i="7"/>
  <c r="H26" i="7" s="1"/>
  <c r="G24" i="7"/>
  <c r="F24" i="7"/>
  <c r="E24" i="7"/>
  <c r="E26" i="7" s="1"/>
  <c r="E27" i="7" s="1"/>
  <c r="D24" i="7"/>
  <c r="D26" i="7" s="1"/>
  <c r="H21" i="7"/>
  <c r="K18" i="7"/>
  <c r="J18" i="7"/>
  <c r="I18" i="7"/>
  <c r="G18" i="7"/>
  <c r="G21" i="7" s="1"/>
  <c r="F18" i="7"/>
  <c r="F21" i="7" s="1"/>
  <c r="F42" i="7" s="1"/>
  <c r="E18" i="7"/>
  <c r="E21" i="7" s="1"/>
  <c r="E31" i="7" s="1"/>
  <c r="D18" i="7"/>
  <c r="D21" i="7" s="1"/>
  <c r="D36" i="7" s="1"/>
  <c r="B18" i="7"/>
  <c r="K17" i="7"/>
  <c r="J17" i="7"/>
  <c r="I17" i="7"/>
  <c r="H17" i="7"/>
  <c r="G17" i="7"/>
  <c r="F17" i="7"/>
  <c r="E17" i="7"/>
  <c r="D17" i="7"/>
  <c r="C17" i="7"/>
  <c r="K13" i="7"/>
  <c r="J13" i="7"/>
  <c r="I13" i="7"/>
  <c r="H13" i="7"/>
  <c r="G13" i="7"/>
  <c r="F13" i="7"/>
  <c r="E13" i="7"/>
  <c r="D13" i="7"/>
  <c r="L10" i="7"/>
  <c r="X69" i="7" s="1"/>
  <c r="C10" i="7"/>
  <c r="C3" i="7"/>
  <c r="B31" i="7" s="1"/>
  <c r="J5" i="5"/>
  <c r="L113" i="2"/>
  <c r="K113" i="2"/>
  <c r="J113" i="2"/>
  <c r="I113" i="2"/>
  <c r="H113" i="2"/>
  <c r="G113" i="2"/>
  <c r="F113" i="2"/>
  <c r="E113" i="2"/>
  <c r="D113" i="2"/>
  <c r="C113" i="2"/>
  <c r="A97" i="2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94" i="2"/>
  <c r="A95" i="2" s="1"/>
  <c r="A96" i="2" s="1"/>
  <c r="A93" i="2"/>
  <c r="A92" i="2"/>
  <c r="R29" i="2"/>
  <c r="R28" i="2"/>
  <c r="M28" i="2"/>
  <c r="B28" i="2"/>
  <c r="M27" i="2"/>
  <c r="B27" i="2"/>
  <c r="A27" i="2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L26" i="2"/>
  <c r="K26" i="2"/>
  <c r="J26" i="2"/>
  <c r="I26" i="2"/>
  <c r="H26" i="2"/>
  <c r="G26" i="2"/>
  <c r="F26" i="2"/>
  <c r="E26" i="2"/>
  <c r="D26" i="2"/>
  <c r="C26" i="2"/>
  <c r="L23" i="2"/>
  <c r="F22" i="2"/>
  <c r="E22" i="2"/>
  <c r="D22" i="2"/>
  <c r="C22" i="2"/>
  <c r="K19" i="2"/>
  <c r="J19" i="2"/>
  <c r="I19" i="2"/>
  <c r="H19" i="2"/>
  <c r="G19" i="2"/>
  <c r="D19" i="2"/>
  <c r="D23" i="2" s="1"/>
  <c r="L18" i="2"/>
  <c r="K18" i="2"/>
  <c r="J18" i="2"/>
  <c r="I18" i="2"/>
  <c r="H18" i="2"/>
  <c r="G18" i="2"/>
  <c r="F18" i="2"/>
  <c r="E18" i="2"/>
  <c r="D18" i="2"/>
  <c r="C18" i="2"/>
  <c r="M17" i="2"/>
  <c r="C8" i="2"/>
  <c r="Q27" i="2" s="1"/>
  <c r="J66" i="1"/>
  <c r="I66" i="1"/>
  <c r="F66" i="1"/>
  <c r="E66" i="1"/>
  <c r="J65" i="1"/>
  <c r="I65" i="1"/>
  <c r="H65" i="1"/>
  <c r="H66" i="1" s="1"/>
  <c r="G65" i="1"/>
  <c r="G66" i="1" s="1"/>
  <c r="F65" i="1"/>
  <c r="E65" i="1"/>
  <c r="D65" i="1"/>
  <c r="D66" i="1" s="1"/>
  <c r="C65" i="1"/>
  <c r="C66" i="1" s="1"/>
  <c r="B65" i="1"/>
  <c r="B66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K7" i="1"/>
  <c r="A7" i="1"/>
  <c r="A8" i="1" s="1"/>
  <c r="L6" i="1"/>
  <c r="K6" i="1"/>
  <c r="A6" i="1"/>
  <c r="C4" i="8" l="1"/>
  <c r="E54" i="7"/>
  <c r="E45" i="7"/>
  <c r="E33" i="7"/>
  <c r="R33" i="7" s="1"/>
  <c r="E57" i="7"/>
  <c r="E51" i="7"/>
  <c r="E48" i="7"/>
  <c r="E42" i="7"/>
  <c r="E60" i="7"/>
  <c r="E36" i="7"/>
  <c r="E39" i="7"/>
  <c r="R30" i="2"/>
  <c r="B29" i="2"/>
  <c r="M10" i="7"/>
  <c r="W35" i="7"/>
  <c r="S44" i="7"/>
  <c r="U82" i="7"/>
  <c r="W87" i="7"/>
  <c r="T86" i="8"/>
  <c r="W85" i="8"/>
  <c r="S83" i="8"/>
  <c r="V82" i="8"/>
  <c r="U79" i="8"/>
  <c r="X78" i="8"/>
  <c r="Q77" i="8"/>
  <c r="T76" i="8"/>
  <c r="W75" i="8"/>
  <c r="S73" i="8"/>
  <c r="V72" i="8"/>
  <c r="U69" i="8"/>
  <c r="X68" i="8"/>
  <c r="Q67" i="8"/>
  <c r="T66" i="8"/>
  <c r="W65" i="8"/>
  <c r="S63" i="8"/>
  <c r="V62" i="8"/>
  <c r="U59" i="8"/>
  <c r="X58" i="8"/>
  <c r="U56" i="8"/>
  <c r="X55" i="8"/>
  <c r="U53" i="8"/>
  <c r="T85" i="8"/>
  <c r="V84" i="8"/>
  <c r="X83" i="8"/>
  <c r="Q81" i="8"/>
  <c r="S80" i="8"/>
  <c r="T79" i="8"/>
  <c r="V78" i="8"/>
  <c r="X77" i="8"/>
  <c r="Q75" i="8"/>
  <c r="S74" i="8"/>
  <c r="U73" i="8"/>
  <c r="W72" i="8"/>
  <c r="X71" i="8"/>
  <c r="Q69" i="8"/>
  <c r="S68" i="8"/>
  <c r="U67" i="8"/>
  <c r="W66" i="8"/>
  <c r="Q63" i="8"/>
  <c r="S62" i="8"/>
  <c r="U61" i="8"/>
  <c r="W60" i="8"/>
  <c r="S57" i="8"/>
  <c r="T56" i="8"/>
  <c r="V55" i="8"/>
  <c r="S52" i="8"/>
  <c r="X51" i="8"/>
  <c r="Q50" i="8"/>
  <c r="T49" i="8"/>
  <c r="X48" i="8"/>
  <c r="Q47" i="8"/>
  <c r="T46" i="8"/>
  <c r="U43" i="8"/>
  <c r="U40" i="8"/>
  <c r="Q39" i="8"/>
  <c r="T38" i="8"/>
  <c r="W37" i="8"/>
  <c r="Q36" i="8"/>
  <c r="T35" i="8"/>
  <c r="W34" i="8"/>
  <c r="U32" i="8"/>
  <c r="X31" i="8"/>
  <c r="R30" i="8"/>
  <c r="U29" i="8"/>
  <c r="Q86" i="8"/>
  <c r="S85" i="8"/>
  <c r="U84" i="8"/>
  <c r="W83" i="8"/>
  <c r="Q80" i="8"/>
  <c r="S79" i="8"/>
  <c r="U78" i="8"/>
  <c r="W77" i="8"/>
  <c r="T73" i="8"/>
  <c r="U72" i="8"/>
  <c r="W71" i="8"/>
  <c r="T67" i="8"/>
  <c r="V66" i="8"/>
  <c r="X65" i="8"/>
  <c r="T61" i="8"/>
  <c r="V60" i="8"/>
  <c r="X59" i="8"/>
  <c r="Q57" i="8"/>
  <c r="S56" i="8"/>
  <c r="U55" i="8"/>
  <c r="X54" i="8"/>
  <c r="W51" i="8"/>
  <c r="S49" i="8"/>
  <c r="W48" i="8"/>
  <c r="S46" i="8"/>
  <c r="X45" i="8"/>
  <c r="Q44" i="8"/>
  <c r="T43" i="8"/>
  <c r="X42" i="8"/>
  <c r="Q41" i="8"/>
  <c r="T84" i="8"/>
  <c r="V83" i="8"/>
  <c r="X82" i="8"/>
  <c r="T78" i="8"/>
  <c r="V77" i="8"/>
  <c r="X76" i="8"/>
  <c r="Q74" i="8"/>
  <c r="T72" i="8"/>
  <c r="V71" i="8"/>
  <c r="X70" i="8"/>
  <c r="S86" i="8"/>
  <c r="U85" i="8"/>
  <c r="W84" i="8"/>
  <c r="T80" i="8"/>
  <c r="V79" i="8"/>
  <c r="W78" i="8"/>
  <c r="T74" i="8"/>
  <c r="V73" i="8"/>
  <c r="X72" i="8"/>
  <c r="U81" i="8"/>
  <c r="X75" i="8"/>
  <c r="U74" i="8"/>
  <c r="T71" i="8"/>
  <c r="Q70" i="8"/>
  <c r="V65" i="8"/>
  <c r="V64" i="8"/>
  <c r="V63" i="8"/>
  <c r="U62" i="8"/>
  <c r="S61" i="8"/>
  <c r="S60" i="8"/>
  <c r="S50" i="8"/>
  <c r="T48" i="8"/>
  <c r="U47" i="8"/>
  <c r="V46" i="8"/>
  <c r="W45" i="8"/>
  <c r="X44" i="8"/>
  <c r="U39" i="8"/>
  <c r="W38" i="8"/>
  <c r="T34" i="8"/>
  <c r="X33" i="8"/>
  <c r="Q31" i="8"/>
  <c r="T30" i="8"/>
  <c r="V29" i="8"/>
  <c r="X85" i="8"/>
  <c r="Q84" i="8"/>
  <c r="W82" i="8"/>
  <c r="T81" i="8"/>
  <c r="S78" i="8"/>
  <c r="V75" i="8"/>
  <c r="S71" i="8"/>
  <c r="X67" i="8"/>
  <c r="X66" i="8"/>
  <c r="U65" i="8"/>
  <c r="U64" i="8"/>
  <c r="U63" i="8"/>
  <c r="T62" i="8"/>
  <c r="Q60" i="8"/>
  <c r="Q59" i="8"/>
  <c r="Q58" i="8"/>
  <c r="Q51" i="8"/>
  <c r="Q49" i="8"/>
  <c r="S48" i="8"/>
  <c r="T47" i="8"/>
  <c r="U46" i="8"/>
  <c r="V45" i="8"/>
  <c r="W44" i="8"/>
  <c r="X43" i="8"/>
  <c r="T39" i="8"/>
  <c r="V38" i="8"/>
  <c r="X37" i="8"/>
  <c r="Q35" i="8"/>
  <c r="S34" i="8"/>
  <c r="W33" i="8"/>
  <c r="S30" i="8"/>
  <c r="T29" i="8"/>
  <c r="E10" i="8"/>
  <c r="V85" i="8"/>
  <c r="U82" i="8"/>
  <c r="S81" i="8"/>
  <c r="U75" i="8"/>
  <c r="W68" i="8"/>
  <c r="W67" i="8"/>
  <c r="U66" i="8"/>
  <c r="T65" i="8"/>
  <c r="T64" i="8"/>
  <c r="T63" i="8"/>
  <c r="Q62" i="8"/>
  <c r="Q61" i="8"/>
  <c r="S47" i="8"/>
  <c r="U45" i="8"/>
  <c r="V44" i="8"/>
  <c r="W43" i="8"/>
  <c r="W42" i="8"/>
  <c r="X41" i="8"/>
  <c r="S39" i="8"/>
  <c r="U38" i="8"/>
  <c r="V37" i="8"/>
  <c r="V33" i="8"/>
  <c r="X32" i="8"/>
  <c r="Q30" i="8"/>
  <c r="S29" i="8"/>
  <c r="D10" i="8"/>
  <c r="S84" i="8"/>
  <c r="V81" i="8"/>
  <c r="S77" i="8"/>
  <c r="V74" i="8"/>
  <c r="U71" i="8"/>
  <c r="S70" i="8"/>
  <c r="W64" i="8"/>
  <c r="W63" i="8"/>
  <c r="W62" i="8"/>
  <c r="V61" i="8"/>
  <c r="T60" i="8"/>
  <c r="S59" i="8"/>
  <c r="S58" i="8"/>
  <c r="T57" i="8"/>
  <c r="Q56" i="8"/>
  <c r="Q55" i="8"/>
  <c r="Q54" i="8"/>
  <c r="Q53" i="8"/>
  <c r="S51" i="8"/>
  <c r="T50" i="8"/>
  <c r="U49" i="8"/>
  <c r="U48" i="8"/>
  <c r="V47" i="8"/>
  <c r="W46" i="8"/>
  <c r="Q40" i="8"/>
  <c r="V39" i="8"/>
  <c r="X38" i="8"/>
  <c r="S35" i="8"/>
  <c r="U34" i="8"/>
  <c r="U30" i="8"/>
  <c r="W29" i="8"/>
  <c r="X86" i="8"/>
  <c r="X79" i="8"/>
  <c r="U77" i="8"/>
  <c r="S72" i="8"/>
  <c r="U70" i="8"/>
  <c r="T68" i="8"/>
  <c r="S66" i="8"/>
  <c r="V59" i="8"/>
  <c r="X57" i="8"/>
  <c r="T54" i="8"/>
  <c r="V52" i="8"/>
  <c r="W49" i="8"/>
  <c r="Q46" i="8"/>
  <c r="W41" i="8"/>
  <c r="S40" i="8"/>
  <c r="U37" i="8"/>
  <c r="T36" i="8"/>
  <c r="U33" i="8"/>
  <c r="R29" i="8"/>
  <c r="H10" i="8"/>
  <c r="H91" i="8" s="1"/>
  <c r="W86" i="8"/>
  <c r="X84" i="8"/>
  <c r="Q82" i="8"/>
  <c r="W79" i="8"/>
  <c r="T77" i="8"/>
  <c r="T70" i="8"/>
  <c r="Q68" i="8"/>
  <c r="X64" i="8"/>
  <c r="T59" i="8"/>
  <c r="W57" i="8"/>
  <c r="S54" i="8"/>
  <c r="U52" i="8"/>
  <c r="V49" i="8"/>
  <c r="Q43" i="8"/>
  <c r="V41" i="8"/>
  <c r="T37" i="8"/>
  <c r="S36" i="8"/>
  <c r="T33" i="8"/>
  <c r="Q32" i="8"/>
  <c r="X30" i="8"/>
  <c r="Q29" i="8"/>
  <c r="G10" i="8"/>
  <c r="G91" i="8" s="1"/>
  <c r="V86" i="8"/>
  <c r="X81" i="8"/>
  <c r="Q79" i="8"/>
  <c r="W76" i="8"/>
  <c r="X74" i="8"/>
  <c r="Q72" i="8"/>
  <c r="X69" i="8"/>
  <c r="Q66" i="8"/>
  <c r="S64" i="8"/>
  <c r="V57" i="8"/>
  <c r="W55" i="8"/>
  <c r="X53" i="8"/>
  <c r="T52" i="8"/>
  <c r="X50" i="8"/>
  <c r="X47" i="8"/>
  <c r="U44" i="8"/>
  <c r="U41" i="8"/>
  <c r="S37" i="8"/>
  <c r="X34" i="8"/>
  <c r="S33" i="8"/>
  <c r="W30" i="8"/>
  <c r="F10" i="8"/>
  <c r="F91" i="8" s="1"/>
  <c r="U86" i="8"/>
  <c r="W81" i="8"/>
  <c r="V76" i="8"/>
  <c r="W74" i="8"/>
  <c r="W69" i="8"/>
  <c r="X62" i="8"/>
  <c r="S82" i="8"/>
  <c r="U80" i="8"/>
  <c r="S75" i="8"/>
  <c r="V70" i="8"/>
  <c r="U68" i="8"/>
  <c r="W61" i="8"/>
  <c r="W59" i="8"/>
  <c r="U54" i="8"/>
  <c r="W52" i="8"/>
  <c r="T51" i="8"/>
  <c r="X49" i="8"/>
  <c r="X46" i="8"/>
  <c r="Q45" i="8"/>
  <c r="S43" i="8"/>
  <c r="Q42" i="8"/>
  <c r="T40" i="8"/>
  <c r="U36" i="8"/>
  <c r="S32" i="8"/>
  <c r="X29" i="8"/>
  <c r="I10" i="8"/>
  <c r="T83" i="8"/>
  <c r="T69" i="8"/>
  <c r="W58" i="8"/>
  <c r="V56" i="8"/>
  <c r="S53" i="8"/>
  <c r="V50" i="8"/>
  <c r="Q48" i="8"/>
  <c r="T45" i="8"/>
  <c r="V42" i="8"/>
  <c r="V40" i="8"/>
  <c r="Q38" i="8"/>
  <c r="X35" i="8"/>
  <c r="U31" i="8"/>
  <c r="Q78" i="8"/>
  <c r="X73" i="8"/>
  <c r="S69" i="8"/>
  <c r="S65" i="8"/>
  <c r="V58" i="8"/>
  <c r="T55" i="8"/>
  <c r="U50" i="8"/>
  <c r="W47" i="8"/>
  <c r="S45" i="8"/>
  <c r="U42" i="8"/>
  <c r="W35" i="8"/>
  <c r="T31" i="8"/>
  <c r="Q83" i="8"/>
  <c r="W73" i="8"/>
  <c r="U58" i="8"/>
  <c r="S55" i="8"/>
  <c r="X52" i="8"/>
  <c r="T42" i="8"/>
  <c r="V35" i="8"/>
  <c r="Q33" i="8"/>
  <c r="S31" i="8"/>
  <c r="K10" i="8"/>
  <c r="U76" i="8"/>
  <c r="V67" i="8"/>
  <c r="Q64" i="8"/>
  <c r="X60" i="8"/>
  <c r="S44" i="8"/>
  <c r="X39" i="8"/>
  <c r="Q37" i="8"/>
  <c r="V30" i="8"/>
  <c r="S76" i="8"/>
  <c r="S67" i="8"/>
  <c r="U60" i="8"/>
  <c r="U57" i="8"/>
  <c r="W54" i="8"/>
  <c r="Q85" i="8"/>
  <c r="X80" i="8"/>
  <c r="Q71" i="8"/>
  <c r="U83" i="8"/>
  <c r="V69" i="8"/>
  <c r="W56" i="8"/>
  <c r="T53" i="8"/>
  <c r="W50" i="8"/>
  <c r="V48" i="8"/>
  <c r="W40" i="8"/>
  <c r="V31" i="8"/>
  <c r="Q73" i="8"/>
  <c r="V53" i="8"/>
  <c r="S42" i="8"/>
  <c r="Q52" i="8"/>
  <c r="T41" i="8"/>
  <c r="S38" i="8"/>
  <c r="M9" i="8"/>
  <c r="V68" i="8"/>
  <c r="T58" i="8"/>
  <c r="T82" i="8"/>
  <c r="V51" i="8"/>
  <c r="X40" i="8"/>
  <c r="X36" i="8"/>
  <c r="W32" i="8"/>
  <c r="W70" i="8"/>
  <c r="S41" i="8"/>
  <c r="T75" i="8"/>
  <c r="X61" i="8"/>
  <c r="W53" i="8"/>
  <c r="V43" i="8"/>
  <c r="Q34" i="8"/>
  <c r="J10" i="8"/>
  <c r="J91" i="8" s="1"/>
  <c r="X56" i="8"/>
  <c r="H93" i="7"/>
  <c r="H95" i="7"/>
  <c r="E13" i="8"/>
  <c r="G31" i="7"/>
  <c r="G27" i="7"/>
  <c r="W32" i="7"/>
  <c r="R49" i="7"/>
  <c r="U57" i="7"/>
  <c r="W78" i="7"/>
  <c r="K95" i="7"/>
  <c r="K93" i="7"/>
  <c r="W36" i="8"/>
  <c r="Q65" i="8"/>
  <c r="K8" i="1"/>
  <c r="L7" i="1"/>
  <c r="M7" i="1" s="1"/>
  <c r="F45" i="7"/>
  <c r="S67" i="7" s="1"/>
  <c r="F57" i="7"/>
  <c r="F51" i="7"/>
  <c r="F54" i="7"/>
  <c r="S79" i="7" s="1"/>
  <c r="F48" i="7"/>
  <c r="S86" i="7" s="1"/>
  <c r="F63" i="7"/>
  <c r="F66" i="7"/>
  <c r="F60" i="7"/>
  <c r="X33" i="7"/>
  <c r="U37" i="7"/>
  <c r="W45" i="7"/>
  <c r="U69" i="7"/>
  <c r="W73" i="7"/>
  <c r="W39" i="8"/>
  <c r="Q28" i="2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N27" i="2"/>
  <c r="R42" i="7"/>
  <c r="R46" i="7"/>
  <c r="W50" i="7"/>
  <c r="U63" i="7"/>
  <c r="U51" i="8"/>
  <c r="Q76" i="8"/>
  <c r="O28" i="2"/>
  <c r="M29" i="2"/>
  <c r="S42" i="7"/>
  <c r="X50" i="7"/>
  <c r="W69" i="7"/>
  <c r="R80" i="7"/>
  <c r="X86" i="7"/>
  <c r="J13" i="8"/>
  <c r="W31" i="8"/>
  <c r="K65" i="1"/>
  <c r="C31" i="7"/>
  <c r="P56" i="7" s="1"/>
  <c r="C11" i="7"/>
  <c r="C13" i="7"/>
  <c r="U34" i="7"/>
  <c r="R39" i="7"/>
  <c r="X59" i="7"/>
  <c r="W65" i="7"/>
  <c r="T32" i="8"/>
  <c r="V54" i="8"/>
  <c r="V80" i="8"/>
  <c r="C23" i="2"/>
  <c r="M22" i="2"/>
  <c r="X88" i="7"/>
  <c r="Q87" i="7"/>
  <c r="W85" i="7"/>
  <c r="U86" i="7"/>
  <c r="X84" i="7"/>
  <c r="P83" i="7"/>
  <c r="U78" i="7"/>
  <c r="X77" i="7"/>
  <c r="W74" i="7"/>
  <c r="P73" i="7"/>
  <c r="U68" i="7"/>
  <c r="X67" i="7"/>
  <c r="U65" i="7"/>
  <c r="X64" i="7"/>
  <c r="U62" i="7"/>
  <c r="X61" i="7"/>
  <c r="Q60" i="7"/>
  <c r="W56" i="7"/>
  <c r="P55" i="7"/>
  <c r="W51" i="7"/>
  <c r="W49" i="7"/>
  <c r="X47" i="7"/>
  <c r="Q44" i="7"/>
  <c r="W42" i="7"/>
  <c r="U41" i="7"/>
  <c r="X40" i="7"/>
  <c r="Q39" i="7"/>
  <c r="W38" i="7"/>
  <c r="S36" i="7"/>
  <c r="P35" i="7"/>
  <c r="S34" i="7"/>
  <c r="R32" i="7"/>
  <c r="U31" i="7"/>
  <c r="H11" i="7"/>
  <c r="H94" i="7" s="1"/>
  <c r="P88" i="7"/>
  <c r="U85" i="7"/>
  <c r="W84" i="7"/>
  <c r="R82" i="7"/>
  <c r="U81" i="7"/>
  <c r="X80" i="7"/>
  <c r="W77" i="7"/>
  <c r="R72" i="7"/>
  <c r="U71" i="7"/>
  <c r="X70" i="7"/>
  <c r="W67" i="7"/>
  <c r="P66" i="7"/>
  <c r="W64" i="7"/>
  <c r="W61" i="7"/>
  <c r="U59" i="7"/>
  <c r="X58" i="7"/>
  <c r="Q57" i="7"/>
  <c r="W47" i="7"/>
  <c r="P46" i="7"/>
  <c r="S45" i="7"/>
  <c r="P44" i="7"/>
  <c r="S43" i="7"/>
  <c r="W40" i="7"/>
  <c r="P39" i="7"/>
  <c r="R36" i="7"/>
  <c r="R34" i="7"/>
  <c r="U33" i="7"/>
  <c r="Q32" i="7"/>
  <c r="X83" i="7"/>
  <c r="W80" i="7"/>
  <c r="P79" i="7"/>
  <c r="U74" i="7"/>
  <c r="X73" i="7"/>
  <c r="W70" i="7"/>
  <c r="P69" i="7"/>
  <c r="W58" i="7"/>
  <c r="P57" i="7"/>
  <c r="U56" i="7"/>
  <c r="X55" i="7"/>
  <c r="U51" i="7"/>
  <c r="R50" i="7"/>
  <c r="U49" i="7"/>
  <c r="X48" i="7"/>
  <c r="R45" i="7"/>
  <c r="R43" i="7"/>
  <c r="U42" i="7"/>
  <c r="S41" i="7"/>
  <c r="U38" i="7"/>
  <c r="X37" i="7"/>
  <c r="Q36" i="7"/>
  <c r="X35" i="7"/>
  <c r="Q34" i="7"/>
  <c r="P32" i="7"/>
  <c r="S31" i="7"/>
  <c r="X85" i="7"/>
  <c r="Q83" i="7"/>
  <c r="W81" i="7"/>
  <c r="P80" i="7"/>
  <c r="U75" i="7"/>
  <c r="X74" i="7"/>
  <c r="W71" i="7"/>
  <c r="P70" i="7"/>
  <c r="R66" i="7"/>
  <c r="R60" i="7"/>
  <c r="W59" i="7"/>
  <c r="W88" i="7"/>
  <c r="U87" i="7"/>
  <c r="R83" i="7"/>
  <c r="U80" i="7"/>
  <c r="W76" i="7"/>
  <c r="X71" i="7"/>
  <c r="U66" i="7"/>
  <c r="P64" i="7"/>
  <c r="X54" i="7"/>
  <c r="P47" i="7"/>
  <c r="P41" i="7"/>
  <c r="P38" i="7"/>
  <c r="Q35" i="7"/>
  <c r="F11" i="7"/>
  <c r="P74" i="7"/>
  <c r="X72" i="7"/>
  <c r="R70" i="7"/>
  <c r="U67" i="7"/>
  <c r="X63" i="7"/>
  <c r="X62" i="7"/>
  <c r="X57" i="7"/>
  <c r="W55" i="7"/>
  <c r="W54" i="7"/>
  <c r="W48" i="7"/>
  <c r="E11" i="7"/>
  <c r="E14" i="7" s="1"/>
  <c r="U88" i="7"/>
  <c r="X81" i="7"/>
  <c r="U76" i="7"/>
  <c r="P75" i="7"/>
  <c r="W72" i="7"/>
  <c r="R71" i="7"/>
  <c r="W63" i="7"/>
  <c r="W62" i="7"/>
  <c r="W57" i="7"/>
  <c r="X53" i="7"/>
  <c r="X52" i="7"/>
  <c r="X51" i="7"/>
  <c r="X46" i="7"/>
  <c r="X45" i="7"/>
  <c r="X39" i="7"/>
  <c r="X36" i="7"/>
  <c r="D11" i="7"/>
  <c r="U84" i="7"/>
  <c r="U79" i="7"/>
  <c r="X76" i="7"/>
  <c r="W75" i="7"/>
  <c r="R74" i="7"/>
  <c r="R65" i="7"/>
  <c r="U61" i="7"/>
  <c r="R44" i="7"/>
  <c r="Q41" i="7"/>
  <c r="Q40" i="7"/>
  <c r="Q38" i="7"/>
  <c r="Q37" i="7"/>
  <c r="R35" i="7"/>
  <c r="G11" i="7"/>
  <c r="W83" i="7"/>
  <c r="W79" i="7"/>
  <c r="X68" i="7"/>
  <c r="X66" i="7"/>
  <c r="U64" i="7"/>
  <c r="X56" i="7"/>
  <c r="Q55" i="7"/>
  <c r="U53" i="7"/>
  <c r="S48" i="7"/>
  <c r="W46" i="7"/>
  <c r="S40" i="7"/>
  <c r="X38" i="7"/>
  <c r="W36" i="7"/>
  <c r="S33" i="7"/>
  <c r="X31" i="7"/>
  <c r="R56" i="7"/>
  <c r="R31" i="7"/>
  <c r="R81" i="7"/>
  <c r="R77" i="7"/>
  <c r="R73" i="7"/>
  <c r="W68" i="7"/>
  <c r="W66" i="7"/>
  <c r="U60" i="7"/>
  <c r="P50" i="7"/>
  <c r="R48" i="7"/>
  <c r="U43" i="7"/>
  <c r="S35" i="7"/>
  <c r="W31" i="7"/>
  <c r="K11" i="7"/>
  <c r="K94" i="7" s="1"/>
  <c r="R85" i="7"/>
  <c r="U72" i="7"/>
  <c r="U70" i="7"/>
  <c r="Q68" i="7"/>
  <c r="R53" i="7"/>
  <c r="Q51" i="7"/>
  <c r="W44" i="7"/>
  <c r="W41" i="7"/>
  <c r="W34" i="7"/>
  <c r="P33" i="7"/>
  <c r="X87" i="7"/>
  <c r="X82" i="7"/>
  <c r="P72" i="7"/>
  <c r="P54" i="7"/>
  <c r="W52" i="7"/>
  <c r="S46" i="7"/>
  <c r="X42" i="7"/>
  <c r="U39" i="7"/>
  <c r="P36" i="7"/>
  <c r="Q31" i="7"/>
  <c r="U83" i="7"/>
  <c r="Q81" i="7"/>
  <c r="R68" i="7"/>
  <c r="R58" i="7"/>
  <c r="U54" i="7"/>
  <c r="S53" i="7"/>
  <c r="X49" i="7"/>
  <c r="U46" i="7"/>
  <c r="X44" i="7"/>
  <c r="X41" i="7"/>
  <c r="W39" i="7"/>
  <c r="S38" i="7"/>
  <c r="U36" i="7"/>
  <c r="X34" i="7"/>
  <c r="Q33" i="7"/>
  <c r="J11" i="7"/>
  <c r="J94" i="7" s="1"/>
  <c r="Q58" i="7"/>
  <c r="X78" i="7"/>
  <c r="W37" i="7"/>
  <c r="X32" i="7"/>
  <c r="W86" i="7"/>
  <c r="X79" i="7"/>
  <c r="X75" i="7"/>
  <c r="P71" i="7"/>
  <c r="P67" i="7"/>
  <c r="W60" i="7"/>
  <c r="U58" i="7"/>
  <c r="U50" i="7"/>
  <c r="W43" i="7"/>
  <c r="P42" i="7"/>
  <c r="U35" i="7"/>
  <c r="W33" i="7"/>
  <c r="S32" i="7"/>
  <c r="I11" i="7"/>
  <c r="D54" i="7"/>
  <c r="D42" i="7"/>
  <c r="Q54" i="7" s="1"/>
  <c r="D48" i="7"/>
  <c r="Q80" i="7" s="1"/>
  <c r="S39" i="7"/>
  <c r="X43" i="7"/>
  <c r="U47" i="7"/>
  <c r="U55" i="7"/>
  <c r="X60" i="7"/>
  <c r="X65" i="7"/>
  <c r="P82" i="7"/>
  <c r="C4" i="7"/>
  <c r="B32" i="7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H27" i="7"/>
  <c r="C9" i="2"/>
  <c r="M5" i="5" s="1"/>
  <c r="J14" i="7"/>
  <c r="J27" i="7"/>
  <c r="J21" i="7"/>
  <c r="I21" i="7"/>
  <c r="I31" i="7" s="1"/>
  <c r="C29" i="8"/>
  <c r="P80" i="8" s="1"/>
  <c r="C12" i="8"/>
  <c r="E19" i="2"/>
  <c r="E23" i="2" s="1"/>
  <c r="C19" i="2"/>
  <c r="F19" i="2"/>
  <c r="F23" i="2" s="1"/>
  <c r="K27" i="7"/>
  <c r="K21" i="7"/>
  <c r="N17" i="2"/>
  <c r="C10" i="8"/>
  <c r="D13" i="8"/>
  <c r="K90" i="8"/>
  <c r="K92" i="8"/>
  <c r="E31" i="8"/>
  <c r="M113" i="2"/>
  <c r="J114" i="2" s="1"/>
  <c r="F92" i="8"/>
  <c r="F90" i="8"/>
  <c r="E92" i="7"/>
  <c r="D89" i="8"/>
  <c r="F13" i="8" l="1"/>
  <c r="R37" i="7"/>
  <c r="R51" i="7"/>
  <c r="Q77" i="7"/>
  <c r="P51" i="7"/>
  <c r="Q85" i="7"/>
  <c r="P81" i="7"/>
  <c r="P45" i="7"/>
  <c r="R62" i="7"/>
  <c r="Q59" i="7"/>
  <c r="P78" i="7"/>
  <c r="R84" i="7"/>
  <c r="P65" i="7"/>
  <c r="S84" i="7"/>
  <c r="S60" i="7"/>
  <c r="R76" i="7"/>
  <c r="R88" i="7"/>
  <c r="S78" i="7"/>
  <c r="T31" i="7"/>
  <c r="R54" i="7"/>
  <c r="P76" i="7"/>
  <c r="R87" i="7"/>
  <c r="P48" i="7"/>
  <c r="R69" i="7"/>
  <c r="T34" i="7"/>
  <c r="R59" i="7"/>
  <c r="P34" i="8"/>
  <c r="P38" i="8"/>
  <c r="P39" i="8"/>
  <c r="P32" i="8"/>
  <c r="P35" i="8"/>
  <c r="P76" i="8"/>
  <c r="P47" i="8"/>
  <c r="P58" i="8"/>
  <c r="D90" i="8"/>
  <c r="D91" i="8" s="1"/>
  <c r="D92" i="8"/>
  <c r="S82" i="7"/>
  <c r="O29" i="2"/>
  <c r="N29" i="2"/>
  <c r="P29" i="2" s="1"/>
  <c r="M30" i="2"/>
  <c r="F92" i="7"/>
  <c r="S57" i="7"/>
  <c r="P62" i="8"/>
  <c r="P45" i="8"/>
  <c r="P77" i="8"/>
  <c r="P84" i="8"/>
  <c r="P29" i="8"/>
  <c r="P83" i="8"/>
  <c r="P49" i="8"/>
  <c r="P74" i="8"/>
  <c r="P51" i="8"/>
  <c r="P31" i="8"/>
  <c r="P36" i="8"/>
  <c r="P86" i="8"/>
  <c r="P50" i="8"/>
  <c r="P64" i="8"/>
  <c r="P31" i="7"/>
  <c r="C13" i="8"/>
  <c r="L12" i="8"/>
  <c r="S66" i="7"/>
  <c r="S68" i="7"/>
  <c r="E93" i="7"/>
  <c r="E95" i="7"/>
  <c r="S72" i="7"/>
  <c r="V32" i="7"/>
  <c r="S49" i="7"/>
  <c r="S56" i="7"/>
  <c r="S85" i="7"/>
  <c r="Q56" i="7"/>
  <c r="Q50" i="7"/>
  <c r="Q64" i="7"/>
  <c r="S83" i="7"/>
  <c r="Q70" i="7"/>
  <c r="Q65" i="7"/>
  <c r="S69" i="7"/>
  <c r="T33" i="7"/>
  <c r="Q79" i="7"/>
  <c r="P59" i="8"/>
  <c r="P63" i="8"/>
  <c r="P75" i="8"/>
  <c r="L10" i="8"/>
  <c r="L114" i="2"/>
  <c r="P66" i="8"/>
  <c r="E20" i="2"/>
  <c r="C20" i="2"/>
  <c r="N20" i="2" s="1"/>
  <c r="F20" i="2"/>
  <c r="H20" i="2"/>
  <c r="G20" i="2"/>
  <c r="D20" i="2"/>
  <c r="I20" i="2"/>
  <c r="L20" i="2"/>
  <c r="K20" i="2"/>
  <c r="J20" i="2"/>
  <c r="I27" i="7"/>
  <c r="Q71" i="7"/>
  <c r="Q49" i="7"/>
  <c r="Q67" i="7"/>
  <c r="Q61" i="7"/>
  <c r="Q84" i="7"/>
  <c r="Q78" i="7"/>
  <c r="Q45" i="7"/>
  <c r="T36" i="7"/>
  <c r="S51" i="7"/>
  <c r="S73" i="7"/>
  <c r="S71" i="7"/>
  <c r="Q82" i="7"/>
  <c r="Q69" i="7"/>
  <c r="Q63" i="7"/>
  <c r="S63" i="7"/>
  <c r="K114" i="2"/>
  <c r="P30" i="8"/>
  <c r="P85" i="8"/>
  <c r="K91" i="8"/>
  <c r="P65" i="8"/>
  <c r="R32" i="8"/>
  <c r="P52" i="8"/>
  <c r="D92" i="7"/>
  <c r="R47" i="7"/>
  <c r="Q43" i="7"/>
  <c r="P62" i="7"/>
  <c r="P68" i="7"/>
  <c r="R38" i="7"/>
  <c r="R64" i="7"/>
  <c r="T35" i="7"/>
  <c r="S77" i="7"/>
  <c r="P40" i="7"/>
  <c r="S70" i="7"/>
  <c r="Q72" i="7"/>
  <c r="P60" i="7"/>
  <c r="Q53" i="7"/>
  <c r="L13" i="7"/>
  <c r="C14" i="7"/>
  <c r="S59" i="7"/>
  <c r="P85" i="7"/>
  <c r="P34" i="7"/>
  <c r="Q42" i="7"/>
  <c r="G33" i="7"/>
  <c r="G51" i="7"/>
  <c r="G42" i="7"/>
  <c r="G92" i="7" s="1"/>
  <c r="G54" i="7"/>
  <c r="G48" i="7"/>
  <c r="T77" i="7" s="1"/>
  <c r="G45" i="7"/>
  <c r="T53" i="7" s="1"/>
  <c r="G39" i="7"/>
  <c r="G36" i="7"/>
  <c r="T43" i="7" s="1"/>
  <c r="R38" i="8"/>
  <c r="P72" i="8"/>
  <c r="P60" i="8"/>
  <c r="P54" i="8"/>
  <c r="P70" i="8"/>
  <c r="P82" i="8"/>
  <c r="P71" i="8"/>
  <c r="P53" i="8"/>
  <c r="S76" i="7"/>
  <c r="P78" i="8"/>
  <c r="P48" i="8"/>
  <c r="P46" i="8"/>
  <c r="P55" i="8"/>
  <c r="E40" i="8"/>
  <c r="R75" i="8" s="1"/>
  <c r="E43" i="8"/>
  <c r="E37" i="8"/>
  <c r="E34" i="8"/>
  <c r="R62" i="8" s="1"/>
  <c r="E58" i="8"/>
  <c r="E55" i="8"/>
  <c r="E52" i="8"/>
  <c r="E46" i="8"/>
  <c r="E49" i="8"/>
  <c r="R63" i="8"/>
  <c r="Q75" i="7"/>
  <c r="S74" i="7"/>
  <c r="R78" i="7"/>
  <c r="R67" i="7"/>
  <c r="E94" i="7"/>
  <c r="M114" i="2"/>
  <c r="D114" i="2"/>
  <c r="I114" i="2"/>
  <c r="H114" i="2"/>
  <c r="E114" i="2"/>
  <c r="F114" i="2"/>
  <c r="S64" i="7"/>
  <c r="S50" i="7"/>
  <c r="S54" i="7"/>
  <c r="Q76" i="7"/>
  <c r="S87" i="7"/>
  <c r="L11" i="7"/>
  <c r="S55" i="7"/>
  <c r="T44" i="7"/>
  <c r="T32" i="7"/>
  <c r="I91" i="8"/>
  <c r="I13" i="8"/>
  <c r="P40" i="8"/>
  <c r="K14" i="7"/>
  <c r="S58" i="7"/>
  <c r="L8" i="1"/>
  <c r="M8" i="1" s="1"/>
  <c r="K9" i="1"/>
  <c r="P67" i="8"/>
  <c r="P73" i="8"/>
  <c r="P42" i="8"/>
  <c r="P56" i="8"/>
  <c r="P61" i="7"/>
  <c r="B30" i="2"/>
  <c r="R31" i="2"/>
  <c r="H13" i="8"/>
  <c r="G114" i="2"/>
  <c r="P52" i="7"/>
  <c r="V31" i="7"/>
  <c r="Q48" i="7"/>
  <c r="T76" i="7"/>
  <c r="P43" i="7"/>
  <c r="P86" i="7"/>
  <c r="Q47" i="7"/>
  <c r="R61" i="7"/>
  <c r="S80" i="7"/>
  <c r="R75" i="7"/>
  <c r="R86" i="7"/>
  <c r="T41" i="7"/>
  <c r="S52" i="7"/>
  <c r="P63" i="7"/>
  <c r="Q46" i="7"/>
  <c r="P84" i="7"/>
  <c r="N28" i="2"/>
  <c r="P28" i="2" s="1"/>
  <c r="S47" i="7"/>
  <c r="R41" i="7"/>
  <c r="P33" i="8"/>
  <c r="R42" i="8"/>
  <c r="P79" i="8"/>
  <c r="P43" i="8"/>
  <c r="P68" i="8"/>
  <c r="P61" i="8"/>
  <c r="P57" i="8"/>
  <c r="R33" i="8"/>
  <c r="R80" i="8"/>
  <c r="C89" i="8"/>
  <c r="L29" i="8"/>
  <c r="P44" i="8"/>
  <c r="S81" i="7"/>
  <c r="S61" i="7"/>
  <c r="Q74" i="7"/>
  <c r="Q73" i="7"/>
  <c r="S62" i="7"/>
  <c r="T85" i="7"/>
  <c r="Q66" i="7"/>
  <c r="Q88" i="7"/>
  <c r="C92" i="7"/>
  <c r="L31" i="7"/>
  <c r="P49" i="7"/>
  <c r="C114" i="2"/>
  <c r="R79" i="8"/>
  <c r="G13" i="8"/>
  <c r="K13" i="8"/>
  <c r="M19" i="2"/>
  <c r="R55" i="7"/>
  <c r="P77" i="7"/>
  <c r="R40" i="7"/>
  <c r="Q62" i="7"/>
  <c r="S88" i="7"/>
  <c r="Q86" i="7"/>
  <c r="P58" i="7"/>
  <c r="P59" i="7"/>
  <c r="R63" i="7"/>
  <c r="R52" i="7"/>
  <c r="S65" i="7"/>
  <c r="P87" i="7"/>
  <c r="P53" i="7"/>
  <c r="S75" i="7"/>
  <c r="P37" i="7"/>
  <c r="R57" i="7"/>
  <c r="R79" i="7"/>
  <c r="L65" i="1"/>
  <c r="K66" i="1"/>
  <c r="T37" i="7"/>
  <c r="P37" i="8"/>
  <c r="P41" i="8"/>
  <c r="R45" i="8"/>
  <c r="R31" i="8"/>
  <c r="P69" i="8"/>
  <c r="P81" i="8"/>
  <c r="Q52" i="7"/>
  <c r="D14" i="7"/>
  <c r="G95" i="7" l="1"/>
  <c r="G93" i="7"/>
  <c r="G94" i="7" s="1"/>
  <c r="L14" i="7"/>
  <c r="T82" i="7"/>
  <c r="T54" i="7"/>
  <c r="R44" i="8"/>
  <c r="T58" i="7"/>
  <c r="T75" i="7"/>
  <c r="T52" i="7"/>
  <c r="I33" i="7"/>
  <c r="I51" i="7"/>
  <c r="I42" i="7"/>
  <c r="I45" i="7"/>
  <c r="I39" i="7"/>
  <c r="I36" i="7"/>
  <c r="I54" i="7"/>
  <c r="I48" i="7"/>
  <c r="R69" i="8"/>
  <c r="T84" i="7"/>
  <c r="R58" i="8"/>
  <c r="E89" i="8"/>
  <c r="R76" i="8"/>
  <c r="R55" i="8"/>
  <c r="R82" i="8"/>
  <c r="R65" i="8"/>
  <c r="R46" i="8"/>
  <c r="T87" i="7"/>
  <c r="L32" i="7"/>
  <c r="M31" i="7"/>
  <c r="C5" i="7"/>
  <c r="R68" i="8"/>
  <c r="T38" i="7"/>
  <c r="R34" i="8"/>
  <c r="C93" i="7"/>
  <c r="C94" i="7" s="1"/>
  <c r="C95" i="7"/>
  <c r="B31" i="2"/>
  <c r="R32" i="2"/>
  <c r="T57" i="7"/>
  <c r="R53" i="8"/>
  <c r="T72" i="7"/>
  <c r="T70" i="7"/>
  <c r="T56" i="7"/>
  <c r="T48" i="7"/>
  <c r="T50" i="7"/>
  <c r="T69" i="7"/>
  <c r="T42" i="7"/>
  <c r="T78" i="7"/>
  <c r="T67" i="7"/>
  <c r="T61" i="7"/>
  <c r="T60" i="7"/>
  <c r="T83" i="7"/>
  <c r="T63" i="7"/>
  <c r="T47" i="7"/>
  <c r="T66" i="7"/>
  <c r="T49" i="7"/>
  <c r="T40" i="7"/>
  <c r="T71" i="7"/>
  <c r="R85" i="8"/>
  <c r="F95" i="7"/>
  <c r="F93" i="7"/>
  <c r="F94" i="7" s="1"/>
  <c r="T46" i="7"/>
  <c r="M31" i="2"/>
  <c r="O30" i="2"/>
  <c r="N30" i="2"/>
  <c r="P30" i="2" s="1"/>
  <c r="R59" i="8"/>
  <c r="K10" i="1"/>
  <c r="L9" i="1"/>
  <c r="M9" i="1" s="1"/>
  <c r="R67" i="8"/>
  <c r="R74" i="8"/>
  <c r="T73" i="7"/>
  <c r="T55" i="7"/>
  <c r="R54" i="8"/>
  <c r="T68" i="7"/>
  <c r="T86" i="7"/>
  <c r="T80" i="7"/>
  <c r="T45" i="7"/>
  <c r="R57" i="8"/>
  <c r="R72" i="8"/>
  <c r="R41" i="8"/>
  <c r="R39" i="8"/>
  <c r="R78" i="8"/>
  <c r="R84" i="8"/>
  <c r="R36" i="8"/>
  <c r="R66" i="8"/>
  <c r="R40" i="8"/>
  <c r="R83" i="8"/>
  <c r="R73" i="8"/>
  <c r="R49" i="8"/>
  <c r="R35" i="8"/>
  <c r="R61" i="8"/>
  <c r="R64" i="8"/>
  <c r="R77" i="8"/>
  <c r="R48" i="8"/>
  <c r="R56" i="8"/>
  <c r="R37" i="8"/>
  <c r="R70" i="8"/>
  <c r="T62" i="7"/>
  <c r="M29" i="8"/>
  <c r="C5" i="8"/>
  <c r="L30" i="8"/>
  <c r="D93" i="7"/>
  <c r="D94" i="7" s="1"/>
  <c r="D95" i="7"/>
  <c r="T51" i="7"/>
  <c r="T81" i="7"/>
  <c r="T39" i="7"/>
  <c r="T88" i="7"/>
  <c r="R50" i="8"/>
  <c r="T59" i="7"/>
  <c r="R43" i="8"/>
  <c r="R81" i="8"/>
  <c r="L13" i="8"/>
  <c r="R60" i="8"/>
  <c r="T79" i="7"/>
  <c r="T74" i="7"/>
  <c r="C92" i="8"/>
  <c r="C90" i="8"/>
  <c r="C91" i="8" s="1"/>
  <c r="L89" i="8"/>
  <c r="R51" i="8"/>
  <c r="R47" i="8"/>
  <c r="T64" i="7"/>
  <c r="R52" i="8"/>
  <c r="R71" i="8"/>
  <c r="R86" i="8"/>
  <c r="T65" i="7"/>
  <c r="V84" i="7" l="1"/>
  <c r="V61" i="7"/>
  <c r="V55" i="7"/>
  <c r="V39" i="7"/>
  <c r="V44" i="7"/>
  <c r="V35" i="7"/>
  <c r="V46" i="7"/>
  <c r="V58" i="7"/>
  <c r="V68" i="7"/>
  <c r="V80" i="7"/>
  <c r="V78" i="7"/>
  <c r="V88" i="7"/>
  <c r="V73" i="7"/>
  <c r="V71" i="7"/>
  <c r="V56" i="7"/>
  <c r="V48" i="7"/>
  <c r="V81" i="7"/>
  <c r="V82" i="7"/>
  <c r="V57" i="7"/>
  <c r="V34" i="7"/>
  <c r="V54" i="7"/>
  <c r="V63" i="7"/>
  <c r="V77" i="7"/>
  <c r="V41" i="7"/>
  <c r="V52" i="7"/>
  <c r="V59" i="7"/>
  <c r="V85" i="7"/>
  <c r="V53" i="7"/>
  <c r="V37" i="7"/>
  <c r="V79" i="7"/>
  <c r="V38" i="7"/>
  <c r="V51" i="7"/>
  <c r="V76" i="7"/>
  <c r="V74" i="7"/>
  <c r="V42" i="7"/>
  <c r="V70" i="7"/>
  <c r="V75" i="7"/>
  <c r="V36" i="7"/>
  <c r="V83" i="7"/>
  <c r="V72" i="7"/>
  <c r="V67" i="7"/>
  <c r="V49" i="7"/>
  <c r="V47" i="7"/>
  <c r="V66" i="7"/>
  <c r="V62" i="7"/>
  <c r="I92" i="7"/>
  <c r="V50" i="7"/>
  <c r="V87" i="7"/>
  <c r="V33" i="7"/>
  <c r="V45" i="7"/>
  <c r="V86" i="7"/>
  <c r="V64" i="7"/>
  <c r="V69" i="7"/>
  <c r="V40" i="7"/>
  <c r="V65" i="7"/>
  <c r="V43" i="7"/>
  <c r="V60" i="7"/>
  <c r="R33" i="2"/>
  <c r="B32" i="2"/>
  <c r="L90" i="8"/>
  <c r="M89" i="8"/>
  <c r="M32" i="7"/>
  <c r="N32" i="7" s="1"/>
  <c r="L33" i="7"/>
  <c r="L10" i="1"/>
  <c r="M10" i="1" s="1"/>
  <c r="K11" i="1"/>
  <c r="M32" i="2"/>
  <c r="N31" i="2"/>
  <c r="P31" i="2" s="1"/>
  <c r="O31" i="2"/>
  <c r="M30" i="8"/>
  <c r="N30" i="8" s="1"/>
  <c r="L31" i="8"/>
  <c r="E90" i="8"/>
  <c r="E91" i="8" s="1"/>
  <c r="E92" i="8"/>
  <c r="M31" i="8" l="1"/>
  <c r="N31" i="8" s="1"/>
  <c r="L32" i="8"/>
  <c r="R34" i="2"/>
  <c r="B33" i="2"/>
  <c r="O32" i="2"/>
  <c r="M33" i="2"/>
  <c r="N32" i="2"/>
  <c r="P32" i="2" s="1"/>
  <c r="I93" i="7"/>
  <c r="I94" i="7" s="1"/>
  <c r="I95" i="7"/>
  <c r="L92" i="7"/>
  <c r="L11" i="1"/>
  <c r="M11" i="1" s="1"/>
  <c r="K12" i="1"/>
  <c r="M33" i="7"/>
  <c r="N33" i="7" s="1"/>
  <c r="L34" i="7"/>
  <c r="O33" i="2" l="1"/>
  <c r="M34" i="2"/>
  <c r="N33" i="2"/>
  <c r="P33" i="2" s="1"/>
  <c r="M34" i="7"/>
  <c r="N34" i="7" s="1"/>
  <c r="L35" i="7"/>
  <c r="M92" i="7"/>
  <c r="L93" i="7"/>
  <c r="K13" i="1"/>
  <c r="L12" i="1"/>
  <c r="M12" i="1" s="1"/>
  <c r="R35" i="2"/>
  <c r="B34" i="2"/>
  <c r="L33" i="8"/>
  <c r="M32" i="8"/>
  <c r="N32" i="8" s="1"/>
  <c r="L13" i="1" l="1"/>
  <c r="M13" i="1" s="1"/>
  <c r="K14" i="1"/>
  <c r="B35" i="2"/>
  <c r="R36" i="2"/>
  <c r="M35" i="7"/>
  <c r="N35" i="7" s="1"/>
  <c r="L36" i="7"/>
  <c r="L34" i="8"/>
  <c r="M33" i="8"/>
  <c r="N33" i="8" s="1"/>
  <c r="N34" i="2"/>
  <c r="P34" i="2" s="1"/>
  <c r="O34" i="2"/>
  <c r="M35" i="2"/>
  <c r="L35" i="8" l="1"/>
  <c r="M34" i="8"/>
  <c r="N34" i="8" s="1"/>
  <c r="B36" i="2"/>
  <c r="R37" i="2"/>
  <c r="L37" i="7"/>
  <c r="M36" i="7"/>
  <c r="N36" i="7" s="1"/>
  <c r="K15" i="1"/>
  <c r="L14" i="1"/>
  <c r="M14" i="1" s="1"/>
  <c r="M36" i="2"/>
  <c r="O35" i="2"/>
  <c r="N35" i="2"/>
  <c r="P35" i="2" s="1"/>
  <c r="M37" i="2" l="1"/>
  <c r="N36" i="2"/>
  <c r="P36" i="2" s="1"/>
  <c r="O36" i="2"/>
  <c r="L15" i="1"/>
  <c r="M15" i="1" s="1"/>
  <c r="K16" i="1"/>
  <c r="L38" i="7"/>
  <c r="M37" i="7"/>
  <c r="N37" i="7" s="1"/>
  <c r="R38" i="2"/>
  <c r="B37" i="2"/>
  <c r="L36" i="8"/>
  <c r="M35" i="8"/>
  <c r="N35" i="8" s="1"/>
  <c r="L37" i="8" l="1"/>
  <c r="M36" i="8"/>
  <c r="N36" i="8" s="1"/>
  <c r="R39" i="2"/>
  <c r="B38" i="2"/>
  <c r="L39" i="7"/>
  <c r="M38" i="7"/>
  <c r="N38" i="7" s="1"/>
  <c r="L16" i="1"/>
  <c r="M16" i="1" s="1"/>
  <c r="K17" i="1"/>
  <c r="O37" i="2"/>
  <c r="M38" i="2"/>
  <c r="N37" i="2"/>
  <c r="P37" i="2" s="1"/>
  <c r="O38" i="2" l="1"/>
  <c r="N38" i="2"/>
  <c r="P38" i="2" s="1"/>
  <c r="M39" i="2"/>
  <c r="K18" i="1"/>
  <c r="L17" i="1"/>
  <c r="M17" i="1" s="1"/>
  <c r="L40" i="7"/>
  <c r="M39" i="7"/>
  <c r="N39" i="7" s="1"/>
  <c r="B39" i="2"/>
  <c r="R40" i="2"/>
  <c r="M37" i="8"/>
  <c r="N37" i="8" s="1"/>
  <c r="L38" i="8"/>
  <c r="B40" i="2" l="1"/>
  <c r="R41" i="2"/>
  <c r="M40" i="7"/>
  <c r="N40" i="7" s="1"/>
  <c r="L41" i="7"/>
  <c r="K19" i="1"/>
  <c r="L18" i="1"/>
  <c r="M18" i="1" s="1"/>
  <c r="M40" i="2"/>
  <c r="N39" i="2"/>
  <c r="P39" i="2" s="1"/>
  <c r="O39" i="2"/>
  <c r="L39" i="8"/>
  <c r="M38" i="8"/>
  <c r="N38" i="8" s="1"/>
  <c r="L42" i="7" l="1"/>
  <c r="M41" i="7"/>
  <c r="N41" i="7" s="1"/>
  <c r="M39" i="8"/>
  <c r="N39" i="8" s="1"/>
  <c r="L40" i="8"/>
  <c r="R42" i="2"/>
  <c r="B41" i="2"/>
  <c r="M41" i="2"/>
  <c r="N40" i="2"/>
  <c r="P40" i="2" s="1"/>
  <c r="O40" i="2"/>
  <c r="K20" i="1"/>
  <c r="L19" i="1"/>
  <c r="M19" i="1" s="1"/>
  <c r="K21" i="1" l="1"/>
  <c r="L20" i="1"/>
  <c r="M20" i="1" s="1"/>
  <c r="M42" i="2"/>
  <c r="N41" i="2"/>
  <c r="P41" i="2" s="1"/>
  <c r="O41" i="2"/>
  <c r="R43" i="2"/>
  <c r="B42" i="2"/>
  <c r="L41" i="8"/>
  <c r="M40" i="8"/>
  <c r="N40" i="8" s="1"/>
  <c r="M42" i="7"/>
  <c r="N42" i="7" s="1"/>
  <c r="L43" i="7"/>
  <c r="O42" i="2" l="1"/>
  <c r="M43" i="2"/>
  <c r="N42" i="2"/>
  <c r="P42" i="2" s="1"/>
  <c r="R44" i="2"/>
  <c r="B43" i="2"/>
  <c r="L42" i="8"/>
  <c r="M41" i="8"/>
  <c r="N41" i="8" s="1"/>
  <c r="M43" i="7"/>
  <c r="N43" i="7" s="1"/>
  <c r="L44" i="7"/>
  <c r="L21" i="1"/>
  <c r="M21" i="1" s="1"/>
  <c r="K22" i="1"/>
  <c r="L45" i="7" l="1"/>
  <c r="M44" i="7"/>
  <c r="N44" i="7" s="1"/>
  <c r="M42" i="8"/>
  <c r="N42" i="8" s="1"/>
  <c r="L43" i="8"/>
  <c r="B44" i="2"/>
  <c r="R45" i="2"/>
  <c r="O43" i="2"/>
  <c r="N43" i="2"/>
  <c r="P43" i="2" s="1"/>
  <c r="M44" i="2"/>
  <c r="K23" i="1"/>
  <c r="L22" i="1"/>
  <c r="M22" i="1" s="1"/>
  <c r="K24" i="1" l="1"/>
  <c r="L23" i="1"/>
  <c r="M23" i="1" s="1"/>
  <c r="M45" i="2"/>
  <c r="O44" i="2"/>
  <c r="N44" i="2"/>
  <c r="P44" i="2" s="1"/>
  <c r="B45" i="2"/>
  <c r="R46" i="2"/>
  <c r="L44" i="8"/>
  <c r="M43" i="8"/>
  <c r="N43" i="8" s="1"/>
  <c r="L46" i="7"/>
  <c r="M45" i="7"/>
  <c r="N45" i="7" s="1"/>
  <c r="L45" i="8" l="1"/>
  <c r="M44" i="8"/>
  <c r="N44" i="8" s="1"/>
  <c r="L47" i="7"/>
  <c r="M46" i="7"/>
  <c r="N46" i="7" s="1"/>
  <c r="B46" i="2"/>
  <c r="R47" i="2"/>
  <c r="M46" i="2"/>
  <c r="O45" i="2"/>
  <c r="N45" i="2"/>
  <c r="P45" i="2" s="1"/>
  <c r="L24" i="1"/>
  <c r="M24" i="1" s="1"/>
  <c r="K25" i="1"/>
  <c r="R48" i="2" l="1"/>
  <c r="B47" i="2"/>
  <c r="M47" i="2"/>
  <c r="N46" i="2"/>
  <c r="P46" i="2" s="1"/>
  <c r="O46" i="2"/>
  <c r="M47" i="7"/>
  <c r="N47" i="7" s="1"/>
  <c r="L48" i="7"/>
  <c r="K26" i="1"/>
  <c r="L25" i="1"/>
  <c r="M25" i="1" s="1"/>
  <c r="M45" i="8"/>
  <c r="N45" i="8" s="1"/>
  <c r="L46" i="8"/>
  <c r="L49" i="7" l="1"/>
  <c r="M48" i="7"/>
  <c r="N48" i="7" s="1"/>
  <c r="L26" i="1"/>
  <c r="M26" i="1" s="1"/>
  <c r="K27" i="1"/>
  <c r="O47" i="2"/>
  <c r="N47" i="2"/>
  <c r="P47" i="2" s="1"/>
  <c r="M48" i="2"/>
  <c r="L47" i="8"/>
  <c r="M46" i="8"/>
  <c r="N46" i="8" s="1"/>
  <c r="R49" i="2"/>
  <c r="B48" i="2"/>
  <c r="O48" i="2" l="1"/>
  <c r="M49" i="2"/>
  <c r="N48" i="2"/>
  <c r="P48" i="2" s="1"/>
  <c r="R50" i="2"/>
  <c r="B49" i="2"/>
  <c r="L27" i="1"/>
  <c r="M27" i="1" s="1"/>
  <c r="K28" i="1"/>
  <c r="L48" i="8"/>
  <c r="M47" i="8"/>
  <c r="N47" i="8" s="1"/>
  <c r="M49" i="7"/>
  <c r="N49" i="7" s="1"/>
  <c r="L50" i="7"/>
  <c r="K29" i="1" l="1"/>
  <c r="L28" i="1"/>
  <c r="M28" i="1" s="1"/>
  <c r="B50" i="2"/>
  <c r="R51" i="2"/>
  <c r="M48" i="8"/>
  <c r="N48" i="8" s="1"/>
  <c r="L49" i="8"/>
  <c r="N49" i="2"/>
  <c r="P49" i="2" s="1"/>
  <c r="M50" i="2"/>
  <c r="O49" i="2"/>
  <c r="L51" i="7"/>
  <c r="M50" i="7"/>
  <c r="N50" i="7" s="1"/>
  <c r="M51" i="2" l="1"/>
  <c r="O50" i="2"/>
  <c r="N50" i="2"/>
  <c r="P50" i="2" s="1"/>
  <c r="M49" i="8"/>
  <c r="N49" i="8" s="1"/>
  <c r="L50" i="8"/>
  <c r="R52" i="2"/>
  <c r="B51" i="2"/>
  <c r="L52" i="7"/>
  <c r="M51" i="7"/>
  <c r="N51" i="7" s="1"/>
  <c r="L29" i="1"/>
  <c r="M29" i="1" s="1"/>
  <c r="K30" i="1"/>
  <c r="L53" i="7" l="1"/>
  <c r="M52" i="7"/>
  <c r="N52" i="7" s="1"/>
  <c r="L51" i="8"/>
  <c r="M50" i="8"/>
  <c r="N50" i="8" s="1"/>
  <c r="R53" i="2"/>
  <c r="B52" i="2"/>
  <c r="K31" i="1"/>
  <c r="L30" i="1"/>
  <c r="M30" i="1" s="1"/>
  <c r="M52" i="2"/>
  <c r="N51" i="2"/>
  <c r="P51" i="2" s="1"/>
  <c r="O51" i="2"/>
  <c r="K32" i="1" l="1"/>
  <c r="L31" i="1"/>
  <c r="M31" i="1" s="1"/>
  <c r="B53" i="2"/>
  <c r="R54" i="2"/>
  <c r="M51" i="8"/>
  <c r="N51" i="8" s="1"/>
  <c r="L52" i="8"/>
  <c r="O52" i="2"/>
  <c r="N52" i="2"/>
  <c r="P52" i="2" s="1"/>
  <c r="M53" i="2"/>
  <c r="M53" i="7"/>
  <c r="N53" i="7" s="1"/>
  <c r="L54" i="7"/>
  <c r="O53" i="2" l="1"/>
  <c r="M54" i="2"/>
  <c r="N53" i="2"/>
  <c r="P53" i="2" s="1"/>
  <c r="L53" i="8"/>
  <c r="M52" i="8"/>
  <c r="N52" i="8" s="1"/>
  <c r="B54" i="2"/>
  <c r="R55" i="2"/>
  <c r="L55" i="7"/>
  <c r="M54" i="7"/>
  <c r="N54" i="7" s="1"/>
  <c r="L32" i="1"/>
  <c r="M32" i="1" s="1"/>
  <c r="K33" i="1"/>
  <c r="L56" i="7" l="1"/>
  <c r="M55" i="7"/>
  <c r="N55" i="7" s="1"/>
  <c r="B55" i="2"/>
  <c r="R56" i="2"/>
  <c r="L54" i="8"/>
  <c r="M53" i="8"/>
  <c r="N53" i="8" s="1"/>
  <c r="O54" i="2"/>
  <c r="N54" i="2"/>
  <c r="P54" i="2" s="1"/>
  <c r="M55" i="2"/>
  <c r="K34" i="1"/>
  <c r="L33" i="1"/>
  <c r="M33" i="1" s="1"/>
  <c r="K35" i="1" l="1"/>
  <c r="L34" i="1"/>
  <c r="M34" i="1" s="1"/>
  <c r="M56" i="2"/>
  <c r="O55" i="2"/>
  <c r="N55" i="2"/>
  <c r="P55" i="2" s="1"/>
  <c r="M54" i="8"/>
  <c r="N54" i="8" s="1"/>
  <c r="L55" i="8"/>
  <c r="B56" i="2"/>
  <c r="R57" i="2"/>
  <c r="M56" i="7"/>
  <c r="N56" i="7" s="1"/>
  <c r="L57" i="7"/>
  <c r="R58" i="2" l="1"/>
  <c r="B57" i="2"/>
  <c r="M55" i="8"/>
  <c r="N55" i="8" s="1"/>
  <c r="L56" i="8"/>
  <c r="M57" i="2"/>
  <c r="N56" i="2"/>
  <c r="P56" i="2" s="1"/>
  <c r="O56" i="2"/>
  <c r="L58" i="7"/>
  <c r="M57" i="7"/>
  <c r="N57" i="7" s="1"/>
  <c r="L35" i="1"/>
  <c r="M35" i="1" s="1"/>
  <c r="K36" i="1"/>
  <c r="M58" i="7" l="1"/>
  <c r="N58" i="7" s="1"/>
  <c r="L59" i="7"/>
  <c r="O57" i="2"/>
  <c r="M58" i="2"/>
  <c r="N57" i="2"/>
  <c r="P57" i="2" s="1"/>
  <c r="M56" i="8"/>
  <c r="N56" i="8" s="1"/>
  <c r="L57" i="8"/>
  <c r="K37" i="1"/>
  <c r="L36" i="1"/>
  <c r="M36" i="1" s="1"/>
  <c r="R59" i="2"/>
  <c r="B58" i="2"/>
  <c r="B59" i="2" l="1"/>
  <c r="R60" i="2"/>
  <c r="L58" i="8"/>
  <c r="M57" i="8"/>
  <c r="N57" i="8" s="1"/>
  <c r="L37" i="1"/>
  <c r="M37" i="1" s="1"/>
  <c r="K38" i="1"/>
  <c r="O58" i="2"/>
  <c r="M59" i="2"/>
  <c r="N58" i="2"/>
  <c r="P58" i="2" s="1"/>
  <c r="L60" i="7"/>
  <c r="M59" i="7"/>
  <c r="N59" i="7" s="1"/>
  <c r="K39" i="1" l="1"/>
  <c r="L38" i="1"/>
  <c r="M38" i="1" s="1"/>
  <c r="M58" i="8"/>
  <c r="N58" i="8" s="1"/>
  <c r="L59" i="8"/>
  <c r="O59" i="2"/>
  <c r="N59" i="2"/>
  <c r="P59" i="2" s="1"/>
  <c r="M60" i="2"/>
  <c r="B60" i="2"/>
  <c r="R61" i="2"/>
  <c r="L61" i="7"/>
  <c r="M60" i="7"/>
  <c r="N60" i="7" s="1"/>
  <c r="M61" i="7" l="1"/>
  <c r="N61" i="7" s="1"/>
  <c r="L62" i="7"/>
  <c r="B61" i="2"/>
  <c r="R62" i="2"/>
  <c r="M61" i="2"/>
  <c r="O60" i="2"/>
  <c r="N60" i="2"/>
  <c r="P60" i="2" s="1"/>
  <c r="M59" i="8"/>
  <c r="N59" i="8" s="1"/>
  <c r="L60" i="8"/>
  <c r="K40" i="1"/>
  <c r="L39" i="1"/>
  <c r="M39" i="1" s="1"/>
  <c r="L40" i="1" l="1"/>
  <c r="M40" i="1" s="1"/>
  <c r="K41" i="1"/>
  <c r="L61" i="8"/>
  <c r="M60" i="8"/>
  <c r="N60" i="8" s="1"/>
  <c r="M62" i="2"/>
  <c r="N61" i="2"/>
  <c r="P61" i="2" s="1"/>
  <c r="O61" i="2"/>
  <c r="M62" i="7"/>
  <c r="N62" i="7" s="1"/>
  <c r="L63" i="7"/>
  <c r="R63" i="2"/>
  <c r="B62" i="2"/>
  <c r="L64" i="7" l="1"/>
  <c r="M63" i="7"/>
  <c r="N63" i="7" s="1"/>
  <c r="R64" i="2"/>
  <c r="B63" i="2"/>
  <c r="O62" i="2"/>
  <c r="M63" i="2"/>
  <c r="N62" i="2"/>
  <c r="P62" i="2" s="1"/>
  <c r="M61" i="8"/>
  <c r="N61" i="8" s="1"/>
  <c r="L62" i="8"/>
  <c r="K42" i="1"/>
  <c r="L41" i="1"/>
  <c r="M41" i="1" s="1"/>
  <c r="L63" i="8" l="1"/>
  <c r="M62" i="8"/>
  <c r="N62" i="8" s="1"/>
  <c r="O63" i="2"/>
  <c r="N63" i="2"/>
  <c r="P63" i="2" s="1"/>
  <c r="M64" i="2"/>
  <c r="K43" i="1"/>
  <c r="L42" i="1"/>
  <c r="M42" i="1" s="1"/>
  <c r="B64" i="2"/>
  <c r="R65" i="2"/>
  <c r="M64" i="7"/>
  <c r="N64" i="7" s="1"/>
  <c r="L65" i="7"/>
  <c r="B65" i="2" l="1"/>
  <c r="R66" i="2"/>
  <c r="K44" i="1"/>
  <c r="L43" i="1"/>
  <c r="M43" i="1" s="1"/>
  <c r="M65" i="2"/>
  <c r="O64" i="2"/>
  <c r="N64" i="2"/>
  <c r="P64" i="2" s="1"/>
  <c r="L66" i="7"/>
  <c r="M65" i="7"/>
  <c r="N65" i="7" s="1"/>
  <c r="M63" i="8"/>
  <c r="N63" i="8" s="1"/>
  <c r="L64" i="8"/>
  <c r="L67" i="7" l="1"/>
  <c r="M66" i="7"/>
  <c r="N66" i="7" s="1"/>
  <c r="M66" i="2"/>
  <c r="N65" i="2"/>
  <c r="P65" i="2" s="1"/>
  <c r="O65" i="2"/>
  <c r="L44" i="1"/>
  <c r="M44" i="1" s="1"/>
  <c r="K45" i="1"/>
  <c r="R67" i="2"/>
  <c r="B66" i="2"/>
  <c r="L65" i="8"/>
  <c r="M64" i="8"/>
  <c r="N64" i="8" s="1"/>
  <c r="M65" i="8" l="1"/>
  <c r="N65" i="8" s="1"/>
  <c r="L66" i="8"/>
  <c r="K46" i="1"/>
  <c r="L45" i="1"/>
  <c r="M45" i="1" s="1"/>
  <c r="R68" i="2"/>
  <c r="B67" i="2"/>
  <c r="M67" i="2"/>
  <c r="N66" i="2"/>
  <c r="P66" i="2" s="1"/>
  <c r="O66" i="2"/>
  <c r="M67" i="7"/>
  <c r="N67" i="7" s="1"/>
  <c r="L68" i="7"/>
  <c r="O67" i="2" l="1"/>
  <c r="M68" i="2"/>
  <c r="N67" i="2"/>
  <c r="P67" i="2" s="1"/>
  <c r="R69" i="2"/>
  <c r="B68" i="2"/>
  <c r="L46" i="1"/>
  <c r="M46" i="1" s="1"/>
  <c r="K47" i="1"/>
  <c r="L67" i="8"/>
  <c r="M66" i="8"/>
  <c r="N66" i="8" s="1"/>
  <c r="L69" i="7"/>
  <c r="M68" i="7"/>
  <c r="N68" i="7" s="1"/>
  <c r="L70" i="7" l="1"/>
  <c r="M69" i="7"/>
  <c r="N69" i="7" s="1"/>
  <c r="L68" i="8"/>
  <c r="M67" i="8"/>
  <c r="N67" i="8" s="1"/>
  <c r="B69" i="2"/>
  <c r="R70" i="2"/>
  <c r="O68" i="2"/>
  <c r="N68" i="2"/>
  <c r="P68" i="2" s="1"/>
  <c r="M69" i="2"/>
  <c r="K48" i="1"/>
  <c r="L47" i="1"/>
  <c r="M47" i="1" s="1"/>
  <c r="B70" i="2" l="1"/>
  <c r="R71" i="2"/>
  <c r="K49" i="1"/>
  <c r="L48" i="1"/>
  <c r="M48" i="1" s="1"/>
  <c r="M70" i="2"/>
  <c r="O69" i="2"/>
  <c r="N69" i="2"/>
  <c r="P69" i="2" s="1"/>
  <c r="M68" i="8"/>
  <c r="N68" i="8" s="1"/>
  <c r="L69" i="8"/>
  <c r="M70" i="7"/>
  <c r="N70" i="7" s="1"/>
  <c r="L71" i="7"/>
  <c r="L70" i="8" l="1"/>
  <c r="M69" i="8"/>
  <c r="N69" i="8" s="1"/>
  <c r="M71" i="2"/>
  <c r="O70" i="2"/>
  <c r="N70" i="2"/>
  <c r="P70" i="2" s="1"/>
  <c r="L49" i="1"/>
  <c r="M49" i="1" s="1"/>
  <c r="K50" i="1"/>
  <c r="B71" i="2"/>
  <c r="R72" i="2"/>
  <c r="M71" i="7"/>
  <c r="N71" i="7" s="1"/>
  <c r="L72" i="7"/>
  <c r="R73" i="2" l="1"/>
  <c r="B72" i="2"/>
  <c r="K51" i="1"/>
  <c r="L50" i="1"/>
  <c r="M50" i="1" s="1"/>
  <c r="M72" i="2"/>
  <c r="N71" i="2"/>
  <c r="P71" i="2" s="1"/>
  <c r="O71" i="2"/>
  <c r="L73" i="7"/>
  <c r="M72" i="7"/>
  <c r="N72" i="7" s="1"/>
  <c r="L71" i="8"/>
  <c r="M70" i="8"/>
  <c r="N70" i="8" s="1"/>
  <c r="L72" i="8" l="1"/>
  <c r="M71" i="8"/>
  <c r="N71" i="8" s="1"/>
  <c r="L74" i="7"/>
  <c r="M73" i="7"/>
  <c r="N73" i="7" s="1"/>
  <c r="O72" i="2"/>
  <c r="N72" i="2"/>
  <c r="P72" i="2" s="1"/>
  <c r="M73" i="2"/>
  <c r="L51" i="1"/>
  <c r="M51" i="1" s="1"/>
  <c r="K52" i="1"/>
  <c r="R74" i="2"/>
  <c r="B73" i="2"/>
  <c r="O73" i="2" l="1"/>
  <c r="M74" i="2"/>
  <c r="N73" i="2"/>
  <c r="P73" i="2" s="1"/>
  <c r="R75" i="2"/>
  <c r="B74" i="2"/>
  <c r="K53" i="1"/>
  <c r="L52" i="1"/>
  <c r="M52" i="1" s="1"/>
  <c r="M74" i="7"/>
  <c r="N74" i="7" s="1"/>
  <c r="L75" i="7"/>
  <c r="L73" i="8"/>
  <c r="M72" i="8"/>
  <c r="N72" i="8" s="1"/>
  <c r="M73" i="8" l="1"/>
  <c r="N73" i="8" s="1"/>
  <c r="L74" i="8"/>
  <c r="K54" i="1"/>
  <c r="L53" i="1"/>
  <c r="M53" i="1" s="1"/>
  <c r="M75" i="7"/>
  <c r="N75" i="7" s="1"/>
  <c r="L76" i="7"/>
  <c r="B75" i="2"/>
  <c r="R76" i="2"/>
  <c r="N74" i="2"/>
  <c r="P74" i="2" s="1"/>
  <c r="M75" i="2"/>
  <c r="O74" i="2"/>
  <c r="M76" i="2" l="1"/>
  <c r="O75" i="2"/>
  <c r="N75" i="2"/>
  <c r="P75" i="2" s="1"/>
  <c r="R77" i="2"/>
  <c r="B76" i="2"/>
  <c r="L77" i="7"/>
  <c r="M76" i="7"/>
  <c r="N76" i="7" s="1"/>
  <c r="L54" i="1"/>
  <c r="M54" i="1" s="1"/>
  <c r="K55" i="1"/>
  <c r="L75" i="8"/>
  <c r="M74" i="8"/>
  <c r="N74" i="8" s="1"/>
  <c r="K56" i="1" l="1"/>
  <c r="L55" i="1"/>
  <c r="M55" i="1" s="1"/>
  <c r="L76" i="8"/>
  <c r="M75" i="8"/>
  <c r="N75" i="8" s="1"/>
  <c r="M77" i="7"/>
  <c r="N77" i="7" s="1"/>
  <c r="L78" i="7"/>
  <c r="R78" i="2"/>
  <c r="B77" i="2"/>
  <c r="M77" i="2"/>
  <c r="N76" i="2"/>
  <c r="P76" i="2" s="1"/>
  <c r="O76" i="2"/>
  <c r="M78" i="7" l="1"/>
  <c r="N78" i="7" s="1"/>
  <c r="L79" i="7"/>
  <c r="O77" i="2"/>
  <c r="N77" i="2"/>
  <c r="P77" i="2" s="1"/>
  <c r="M78" i="2"/>
  <c r="B78" i="2"/>
  <c r="R79" i="2"/>
  <c r="L77" i="8"/>
  <c r="M76" i="8"/>
  <c r="N76" i="8" s="1"/>
  <c r="K57" i="1"/>
  <c r="L56" i="1"/>
  <c r="M56" i="1" s="1"/>
  <c r="L57" i="1" l="1"/>
  <c r="M57" i="1" s="1"/>
  <c r="K58" i="1"/>
  <c r="L80" i="7"/>
  <c r="M79" i="7"/>
  <c r="N79" i="7" s="1"/>
  <c r="M77" i="8"/>
  <c r="N77" i="8" s="1"/>
  <c r="L78" i="8"/>
  <c r="B79" i="2"/>
  <c r="R80" i="2"/>
  <c r="O78" i="2"/>
  <c r="M79" i="2"/>
  <c r="N78" i="2"/>
  <c r="P78" i="2" s="1"/>
  <c r="O79" i="2" l="1"/>
  <c r="N79" i="2"/>
  <c r="P79" i="2" s="1"/>
  <c r="M80" i="2"/>
  <c r="M80" i="7"/>
  <c r="N80" i="7" s="1"/>
  <c r="L81" i="7"/>
  <c r="K59" i="1"/>
  <c r="L58" i="1"/>
  <c r="M58" i="1" s="1"/>
  <c r="B80" i="2"/>
  <c r="R81" i="2"/>
  <c r="M78" i="8"/>
  <c r="N78" i="8" s="1"/>
  <c r="L79" i="8"/>
  <c r="K60" i="1" l="1"/>
  <c r="L59" i="1"/>
  <c r="M59" i="1" s="1"/>
  <c r="B81" i="2"/>
  <c r="R82" i="2"/>
  <c r="L82" i="7"/>
  <c r="M81" i="7"/>
  <c r="N81" i="7" s="1"/>
  <c r="M81" i="2"/>
  <c r="O80" i="2"/>
  <c r="N80" i="2"/>
  <c r="P80" i="2" s="1"/>
  <c r="L80" i="8"/>
  <c r="M79" i="8"/>
  <c r="N79" i="8" s="1"/>
  <c r="M80" i="8" l="1"/>
  <c r="N80" i="8" s="1"/>
  <c r="L81" i="8"/>
  <c r="R83" i="2"/>
  <c r="B82" i="2"/>
  <c r="M82" i="2"/>
  <c r="N81" i="2"/>
  <c r="P81" i="2" s="1"/>
  <c r="O81" i="2"/>
  <c r="L83" i="7"/>
  <c r="M82" i="7"/>
  <c r="N82" i="7" s="1"/>
  <c r="L60" i="1"/>
  <c r="M60" i="1" s="1"/>
  <c r="K61" i="1"/>
  <c r="L82" i="8" l="1"/>
  <c r="M81" i="8"/>
  <c r="N81" i="8" s="1"/>
  <c r="L84" i="7"/>
  <c r="M83" i="7"/>
  <c r="N83" i="7" s="1"/>
  <c r="O82" i="2"/>
  <c r="M83" i="2"/>
  <c r="N82" i="2"/>
  <c r="P82" i="2" s="1"/>
  <c r="R84" i="2"/>
  <c r="B83" i="2"/>
  <c r="K62" i="1"/>
  <c r="L61" i="1"/>
  <c r="M61" i="1" s="1"/>
  <c r="O83" i="2" l="1"/>
  <c r="M84" i="2"/>
  <c r="N83" i="2"/>
  <c r="P83" i="2" s="1"/>
  <c r="L62" i="1"/>
  <c r="M62" i="1" s="1"/>
  <c r="K63" i="1"/>
  <c r="R85" i="2"/>
  <c r="B84" i="2"/>
  <c r="L85" i="7"/>
  <c r="M84" i="7"/>
  <c r="N84" i="7" s="1"/>
  <c r="L83" i="8"/>
  <c r="M82" i="8"/>
  <c r="N82" i="8" s="1"/>
  <c r="L86" i="7" l="1"/>
  <c r="M85" i="7"/>
  <c r="N85" i="7" s="1"/>
  <c r="B85" i="2"/>
  <c r="R86" i="2"/>
  <c r="M83" i="8"/>
  <c r="N83" i="8" s="1"/>
  <c r="L84" i="8"/>
  <c r="K64" i="1"/>
  <c r="L64" i="1" s="1"/>
  <c r="M64" i="1" s="1"/>
  <c r="L63" i="1"/>
  <c r="M63" i="1" s="1"/>
  <c r="M85" i="2"/>
  <c r="O84" i="2"/>
  <c r="N84" i="2"/>
  <c r="P84" i="2" s="1"/>
  <c r="L85" i="8" l="1"/>
  <c r="M84" i="8"/>
  <c r="N84" i="8" s="1"/>
  <c r="R87" i="2"/>
  <c r="B86" i="2"/>
  <c r="M86" i="2"/>
  <c r="N85" i="2"/>
  <c r="P85" i="2" s="1"/>
  <c r="O85" i="2"/>
  <c r="M86" i="7"/>
  <c r="N86" i="7" s="1"/>
  <c r="L87" i="7"/>
  <c r="M87" i="7" l="1"/>
  <c r="N87" i="7" s="1"/>
  <c r="L88" i="7"/>
  <c r="M88" i="7" s="1"/>
  <c r="N88" i="7" s="1"/>
  <c r="O86" i="2"/>
  <c r="N86" i="2"/>
  <c r="P86" i="2" s="1"/>
  <c r="M87" i="2"/>
  <c r="B87" i="2"/>
  <c r="R88" i="2"/>
  <c r="L86" i="8"/>
  <c r="M86" i="8" s="1"/>
  <c r="M85" i="8"/>
  <c r="N85" i="8" s="1"/>
  <c r="N86" i="8" l="1"/>
  <c r="R89" i="2"/>
  <c r="B88" i="2"/>
  <c r="M88" i="2"/>
  <c r="O87" i="2"/>
  <c r="N87" i="2"/>
  <c r="P87" i="2" s="1"/>
  <c r="N88" i="2" l="1"/>
  <c r="P88" i="2" s="1"/>
  <c r="M89" i="2"/>
  <c r="O88" i="2"/>
  <c r="R90" i="2"/>
  <c r="B89" i="2"/>
  <c r="R91" i="2" l="1"/>
  <c r="B90" i="2"/>
  <c r="N89" i="2"/>
  <c r="P89" i="2" s="1"/>
  <c r="O89" i="2"/>
  <c r="M90" i="2"/>
  <c r="O90" i="2" l="1"/>
  <c r="N90" i="2"/>
  <c r="P90" i="2" s="1"/>
  <c r="M91" i="2"/>
  <c r="B91" i="2"/>
  <c r="R92" i="2"/>
  <c r="B92" i="2" l="1"/>
  <c r="R93" i="2"/>
  <c r="M92" i="2"/>
  <c r="O91" i="2"/>
  <c r="N91" i="2"/>
  <c r="P91" i="2" s="1"/>
  <c r="M93" i="2" l="1"/>
  <c r="N92" i="2"/>
  <c r="P92" i="2" s="1"/>
  <c r="O92" i="2"/>
  <c r="R94" i="2"/>
  <c r="B93" i="2"/>
  <c r="R95" i="2" l="1"/>
  <c r="B94" i="2"/>
  <c r="O93" i="2"/>
  <c r="N93" i="2"/>
  <c r="P93" i="2" s="1"/>
  <c r="M94" i="2"/>
  <c r="N94" i="2" l="1"/>
  <c r="P94" i="2" s="1"/>
  <c r="M95" i="2"/>
  <c r="O94" i="2"/>
  <c r="B95" i="2"/>
  <c r="R96" i="2"/>
  <c r="B96" i="2" l="1"/>
  <c r="R97" i="2"/>
  <c r="M96" i="2"/>
  <c r="N95" i="2"/>
  <c r="P95" i="2" s="1"/>
  <c r="O95" i="2"/>
  <c r="M97" i="2" l="1"/>
  <c r="N96" i="2"/>
  <c r="P96" i="2" s="1"/>
  <c r="O96" i="2"/>
  <c r="R98" i="2"/>
  <c r="B97" i="2"/>
  <c r="R99" i="2" l="1"/>
  <c r="B98" i="2"/>
  <c r="O97" i="2"/>
  <c r="M98" i="2"/>
  <c r="N97" i="2"/>
  <c r="P97" i="2" s="1"/>
  <c r="O98" i="2" l="1"/>
  <c r="M99" i="2"/>
  <c r="N98" i="2"/>
  <c r="P98" i="2" s="1"/>
  <c r="B99" i="2"/>
  <c r="R100" i="2"/>
  <c r="R101" i="2" l="1"/>
  <c r="B100" i="2"/>
  <c r="M100" i="2"/>
  <c r="N99" i="2"/>
  <c r="P99" i="2" s="1"/>
  <c r="O99" i="2"/>
  <c r="O100" i="2" l="1"/>
  <c r="N100" i="2"/>
  <c r="P100" i="2" s="1"/>
  <c r="M101" i="2"/>
  <c r="R102" i="2"/>
  <c r="B101" i="2"/>
  <c r="M102" i="2" l="1"/>
  <c r="N101" i="2"/>
  <c r="P101" i="2" s="1"/>
  <c r="O101" i="2"/>
  <c r="B102" i="2"/>
  <c r="R103" i="2"/>
  <c r="B103" i="2" l="1"/>
  <c r="R104" i="2"/>
  <c r="M103" i="2"/>
  <c r="O102" i="2"/>
  <c r="N102" i="2"/>
  <c r="P102" i="2" s="1"/>
  <c r="O103" i="2" l="1"/>
  <c r="N103" i="2"/>
  <c r="P103" i="2" s="1"/>
  <c r="M104" i="2"/>
  <c r="R105" i="2"/>
  <c r="B104" i="2"/>
  <c r="B105" i="2" l="1"/>
  <c r="R106" i="2"/>
  <c r="O104" i="2"/>
  <c r="N104" i="2"/>
  <c r="P104" i="2" s="1"/>
  <c r="M105" i="2"/>
  <c r="M106" i="2" l="1"/>
  <c r="N105" i="2"/>
  <c r="P105" i="2" s="1"/>
  <c r="O105" i="2"/>
  <c r="B106" i="2"/>
  <c r="R107" i="2"/>
  <c r="R108" i="2" l="1"/>
  <c r="B107" i="2"/>
  <c r="M107" i="2"/>
  <c r="N106" i="2"/>
  <c r="P106" i="2" s="1"/>
  <c r="O106" i="2"/>
  <c r="O107" i="2" l="1"/>
  <c r="N107" i="2"/>
  <c r="P107" i="2" s="1"/>
  <c r="M108" i="2"/>
  <c r="R109" i="2"/>
  <c r="B108" i="2"/>
  <c r="B109" i="2" l="1"/>
  <c r="R110" i="2"/>
  <c r="O108" i="2"/>
  <c r="M109" i="2"/>
  <c r="N108" i="2"/>
  <c r="P108" i="2" s="1"/>
  <c r="M110" i="2" l="1"/>
  <c r="O109" i="2"/>
  <c r="N109" i="2"/>
  <c r="P109" i="2" s="1"/>
  <c r="B110" i="2"/>
  <c r="R111" i="2"/>
  <c r="R112" i="2" l="1"/>
  <c r="B112" i="2" s="1"/>
  <c r="B111" i="2"/>
  <c r="N110" i="2"/>
  <c r="P110" i="2" s="1"/>
  <c r="M111" i="2"/>
  <c r="O110" i="2"/>
  <c r="O111" i="2" l="1"/>
  <c r="N111" i="2"/>
  <c r="P111" i="2" s="1"/>
  <c r="M112" i="2"/>
  <c r="N112" i="2" l="1"/>
  <c r="P112" i="2" s="1"/>
  <c r="O112" i="2"/>
</calcChain>
</file>

<file path=xl/sharedStrings.xml><?xml version="1.0" encoding="utf-8"?>
<sst xmlns="http://schemas.openxmlformats.org/spreadsheetml/2006/main" count="627" uniqueCount="259">
  <si>
    <t>Project Name</t>
  </si>
  <si>
    <t>[Project Name]</t>
  </si>
  <si>
    <t>(Please fill in)</t>
  </si>
  <si>
    <t>Total Supply</t>
  </si>
  <si>
    <t>Date (Today)</t>
  </si>
  <si>
    <t>[Date]</t>
  </si>
  <si>
    <t>Public Sale</t>
  </si>
  <si>
    <t>Private Sale</t>
  </si>
  <si>
    <t>Team</t>
  </si>
  <si>
    <t>Advisors</t>
  </si>
  <si>
    <t>[Other - Please Fill In]</t>
  </si>
  <si>
    <t>Circulating Supply</t>
  </si>
  <si>
    <t>Circulating Supply %</t>
  </si>
  <si>
    <t>Incremental Supply %</t>
  </si>
  <si>
    <t>Total</t>
  </si>
  <si>
    <t xml:space="preserve">PLEASE READ - MODEL INSTRUCTIONS, PLEASE DO NOT CHANGE THE FORMULAS: </t>
  </si>
  <si>
    <t>Ticker</t>
  </si>
  <si>
    <t>TGE Date (T)</t>
  </si>
  <si>
    <t>0) Orange Cells = Hardcode values; Black fonts = Formulas / Links</t>
  </si>
  <si>
    <t>Block Explorer Link</t>
  </si>
  <si>
    <t>[Link]</t>
  </si>
  <si>
    <t>1) Populate the orange cells from B2-B10 for the basic information about the token.</t>
  </si>
  <si>
    <t>Monetary Policy</t>
  </si>
  <si>
    <t>2) Populate the orange cells on rows 12, 13, 14, 15, 16 &amp; 20 for different token distribution pockets, please relabel, add or delete columns accordingly.</t>
  </si>
  <si>
    <t>3) Populate the orange cells in each column from row 27 with the number of tokens unlocked each month and row 112 for all tokens unlocking beyond month 84.</t>
  </si>
  <si>
    <t>Total Supply at Genesis</t>
  </si>
  <si>
    <t>4) Populate unlock details in orange cell B25.</t>
  </si>
  <si>
    <t>Max Supply</t>
  </si>
  <si>
    <t>5) Confirm if the numbers on row 18 match with numbers on row 17, confirm if the total supply numbers in M17 and N17 are correct.</t>
  </si>
  <si>
    <t>Current Circ Supply</t>
  </si>
  <si>
    <t>[%]</t>
  </si>
  <si>
    <t>6) Add other details such as investor breakdown and other operational statistics in "Investor/Insiders Breakdown" and "Platform stats - Users adoption".</t>
  </si>
  <si>
    <t>Pocket Labels</t>
  </si>
  <si>
    <t>SAFT 0</t>
  </si>
  <si>
    <t>SAFT 1</t>
  </si>
  <si>
    <t>SAFT 2</t>
  </si>
  <si>
    <t>Protocol 
Development</t>
  </si>
  <si>
    <t>Ecosystem 
/ Community</t>
  </si>
  <si>
    <t>Foundation 
/ Treasury</t>
  </si>
  <si>
    <t>[TBU]</t>
  </si>
  <si>
    <t>Estimated Validator 
/ Emission Rewards</t>
  </si>
  <si>
    <t>Total Supply 
at Genesis</t>
  </si>
  <si>
    <t>Max Supply / Total Supply in 8 years</t>
  </si>
  <si>
    <t>Purpose of Allocation</t>
  </si>
  <si>
    <t>[text]</t>
  </si>
  <si>
    <t>Token Address</t>
  </si>
  <si>
    <t>[address]</t>
  </si>
  <si>
    <t>Wallet Control</t>
  </si>
  <si>
    <t>Hardcoded in Smart contract</t>
  </si>
  <si>
    <t>Yes/No</t>
  </si>
  <si>
    <t>Token Allocation</t>
  </si>
  <si>
    <t>Checker</t>
  </si>
  <si>
    <t>% of Total Supply (Genesis)</t>
  </si>
  <si>
    <t>% of Total Supply (Max)</t>
  </si>
  <si>
    <t>Token Price ($)</t>
  </si>
  <si>
    <t>Amount Raised ($)</t>
  </si>
  <si>
    <t>Valuation  ($)</t>
  </si>
  <si>
    <t>Day of token vested in each month (1st, 15th, 30th...)</t>
  </si>
  <si>
    <t>15th</t>
  </si>
  <si>
    <t>Circulating 
Supply #</t>
  </si>
  <si>
    <t>Circulating 
Supply %</t>
  </si>
  <si>
    <t>Incremental 
Supply #</t>
  </si>
  <si>
    <t>Incremental 
Supply %</t>
  </si>
  <si>
    <t xml:space="preserve">B) Uncapped  </t>
  </si>
  <si>
    <t>x</t>
  </si>
  <si>
    <t>Thereafter</t>
  </si>
  <si>
    <t>% of Grand Total</t>
  </si>
  <si>
    <r>
      <rPr>
        <b/>
        <u/>
        <sz val="10"/>
        <color rgb="FFFF0000"/>
        <rFont val="Arial"/>
        <family val="2"/>
      </rPr>
      <t>Important</t>
    </r>
    <r>
      <rPr>
        <u/>
        <sz val="10"/>
        <color rgb="FFFF0000"/>
        <rFont val="Arial"/>
        <family val="2"/>
      </rPr>
      <t xml:space="preserve">: In </t>
    </r>
    <r>
      <rPr>
        <u/>
        <sz val="10"/>
        <color rgb="FFFF0000"/>
        <rFont val="Arial"/>
        <family val="2"/>
      </rPr>
      <t>all submissions to C</t>
    </r>
    <r>
      <rPr>
        <u/>
        <sz val="10"/>
        <color rgb="FFFF0000"/>
        <rFont val="Arial"/>
        <family val="2"/>
      </rPr>
      <t xml:space="preserve">MC, </t>
    </r>
    <r>
      <rPr>
        <i/>
        <u/>
        <sz val="10"/>
        <color rgb="FFFF0000"/>
        <rFont val="Arial"/>
        <family val="2"/>
      </rPr>
      <t xml:space="preserve">do </t>
    </r>
    <r>
      <rPr>
        <b/>
        <i/>
        <u/>
        <sz val="10"/>
        <color rgb="FFFF0000"/>
        <rFont val="Arial"/>
        <family val="2"/>
      </rPr>
      <t>NOT</t>
    </r>
    <r>
      <rPr>
        <i/>
        <u/>
        <sz val="10"/>
        <color rgb="FFFF0000"/>
        <rFont val="Arial"/>
        <family val="2"/>
      </rPr>
      <t xml:space="preserve"> mention Binance at all</t>
    </r>
    <r>
      <rPr>
        <u/>
        <sz val="10"/>
        <color rgb="FFFF0000"/>
        <rFont val="Arial"/>
        <family val="2"/>
      </rPr>
      <t xml:space="preserve"> as that would violate the confidentiality clauses of the listing contract and result in the revocation of any potential Binance listing offer.</t>
    </r>
  </si>
  <si>
    <r>
      <rPr>
        <u/>
        <sz val="10"/>
        <color rgb="FFFF0000"/>
        <rFont val="Arial"/>
        <family val="2"/>
      </rPr>
      <t xml:space="preserve">- By default, </t>
    </r>
    <r>
      <rPr>
        <u/>
        <sz val="10"/>
        <color rgb="FFFF0000"/>
        <rFont val="Arial"/>
        <family val="2"/>
      </rPr>
      <t>all CMC applications</t>
    </r>
    <r>
      <rPr>
        <u/>
        <sz val="10"/>
        <color rgb="FFFF0000"/>
        <rFont val="Arial"/>
        <family val="2"/>
      </rPr>
      <t xml:space="preserve"> will receive an automated reply giving them an option to opt-in for the fast track CMC Priority (CMCP) service. 
- If Binance publicly announces the listing, a CMC page will be created for free within 24 hrs of Binance's announcement using info from item 1 below.</t>
    </r>
  </si>
  <si>
    <t>S/N</t>
  </si>
  <si>
    <t>Compulsory?</t>
  </si>
  <si>
    <t>Stage</t>
  </si>
  <si>
    <t>Fields</t>
  </si>
  <si>
    <t>Instructions</t>
  </si>
  <si>
    <t>Checklist</t>
  </si>
  <si>
    <t>Yes</t>
  </si>
  <si>
    <t>Pre-TGE</t>
  </si>
  <si>
    <t>CMC coin listing</t>
  </si>
  <si>
    <r>
      <rPr>
        <u/>
        <sz val="8"/>
        <color rgb="FF1155CC"/>
        <rFont val="Arial"/>
        <family val="2"/>
      </rPr>
      <t xml:space="preserve">- </t>
    </r>
    <r>
      <rPr>
        <u/>
        <sz val="8"/>
        <color rgb="FF1155CC"/>
        <rFont val="Arial"/>
        <family val="2"/>
      </rPr>
      <t xml:space="preserve">Apply to CMC's Form 1
</t>
    </r>
    <r>
      <rPr>
        <u/>
        <sz val="8"/>
        <color rgb="FF000000"/>
        <rFont val="Arial"/>
        <family val="2"/>
      </rPr>
      <t xml:space="preserve">- Align with Binance on figures for Total Supply (TS), Circulating Supply (CS), and Max Supply (MS)
- Ensure that TS, CS, MS, and contract addresses are </t>
    </r>
    <r>
      <rPr>
        <u/>
        <sz val="8"/>
        <color rgb="FFFF0000"/>
        <rFont val="Arial"/>
        <family val="2"/>
      </rPr>
      <t>submitted correctly in the application</t>
    </r>
    <r>
      <rPr>
        <u/>
        <sz val="8"/>
        <color rgb="FF000000"/>
        <rFont val="Arial"/>
        <family val="2"/>
      </rPr>
      <t>.</t>
    </r>
  </si>
  <si>
    <t>CMC SRD Access</t>
  </si>
  <si>
    <r>
      <rPr>
        <u/>
        <sz val="8"/>
        <color rgb="FF1155CC"/>
        <rFont val="Arial"/>
        <family val="2"/>
      </rPr>
      <t xml:space="preserve">- </t>
    </r>
    <r>
      <rPr>
        <b/>
        <u/>
        <sz val="8"/>
        <color rgb="FFFF0000"/>
        <rFont val="Arial"/>
        <family val="2"/>
      </rPr>
      <t xml:space="preserve">Create </t>
    </r>
    <r>
      <rPr>
        <u/>
        <sz val="8"/>
        <color rgb="FF1155CC"/>
        <rFont val="Arial"/>
        <family val="2"/>
      </rPr>
      <t xml:space="preserve">CMC account(s) by </t>
    </r>
    <r>
      <rPr>
        <u/>
        <sz val="8"/>
        <color rgb="FF1155CC"/>
        <rFont val="Arial"/>
        <family val="2"/>
      </rPr>
      <t xml:space="preserve">clicking the "Log In" button on the top right corner
</t>
    </r>
    <r>
      <rPr>
        <u/>
        <sz val="8"/>
        <color rgb="FF1155CC"/>
        <rFont val="Arial"/>
        <family val="2"/>
      </rPr>
      <t xml:space="preserve">- Share </t>
    </r>
    <r>
      <rPr>
        <u/>
        <sz val="8"/>
        <color rgb="FF1155CC"/>
        <rFont val="Arial"/>
        <family val="2"/>
      </rPr>
      <t>3 screenshots</t>
    </r>
    <r>
      <rPr>
        <u/>
        <sz val="8"/>
        <color rgb="FF1155CC"/>
        <rFont val="Arial"/>
        <family val="2"/>
      </rPr>
      <t xml:space="preserve"> with Binance so that CMC can list the token and grant access to the </t>
    </r>
    <r>
      <rPr>
        <u/>
        <sz val="8"/>
        <color rgb="FF1155CC"/>
        <rFont val="Arial"/>
        <family val="2"/>
      </rPr>
      <t xml:space="preserve">Self-reporting Dashboard (SRD)
</t>
    </r>
    <r>
      <rPr>
        <u/>
        <sz val="8"/>
        <color rgb="FF1155CC"/>
        <rFont val="Arial"/>
        <family val="2"/>
      </rPr>
      <t>- Projects can update most of the information in SRD</t>
    </r>
  </si>
  <si>
    <t>Token Unlocks</t>
  </si>
  <si>
    <r>
      <rPr>
        <u/>
        <sz val="8"/>
        <color rgb="FF1155CC"/>
        <rFont val="Arial"/>
        <family val="2"/>
      </rPr>
      <t xml:space="preserve">- Log-in to </t>
    </r>
    <r>
      <rPr>
        <u/>
        <sz val="8"/>
        <color rgb="FF1155CC"/>
        <rFont val="Arial"/>
        <family val="2"/>
      </rPr>
      <t>SRD</t>
    </r>
    <r>
      <rPr>
        <u/>
        <sz val="8"/>
        <color rgb="FF1155CC"/>
        <rFont val="Arial"/>
        <family val="2"/>
      </rPr>
      <t xml:space="preserve"> and populate as many fields as possible (aim for a </t>
    </r>
    <r>
      <rPr>
        <u/>
        <sz val="8"/>
        <color rgb="FF1155CC"/>
        <rFont val="Arial"/>
        <family val="2"/>
      </rPr>
      <t>profile score &gt;80%</t>
    </r>
    <r>
      <rPr>
        <u/>
        <sz val="8"/>
        <color rgb="FF1155CC"/>
        <rFont val="Arial"/>
        <family val="2"/>
      </rPr>
      <t xml:space="preserve">)
- Submit Token Unlock data. See </t>
    </r>
    <r>
      <rPr>
        <u/>
        <sz val="8"/>
        <color rgb="FF1155CC"/>
        <rFont val="Arial"/>
        <family val="2"/>
      </rPr>
      <t>detailed guidelines here</t>
    </r>
    <r>
      <rPr>
        <u/>
        <sz val="8"/>
        <color rgb="FF1155CC"/>
        <rFont val="Arial"/>
        <family val="2"/>
      </rPr>
      <t xml:space="preserve">.
- For projects TGE-ing, </t>
    </r>
    <r>
      <rPr>
        <u/>
        <sz val="8"/>
        <color rgb="FF1155CC"/>
        <rFont val="Arial"/>
        <family val="2"/>
      </rPr>
      <t xml:space="preserve">first unlock </t>
    </r>
    <r>
      <rPr>
        <u/>
        <sz val="8"/>
        <color rgb="FF1155CC"/>
        <rFont val="Arial"/>
        <family val="2"/>
      </rPr>
      <t xml:space="preserve">should match the CS on CMC
- After submission, your CMC page should look like </t>
    </r>
    <r>
      <rPr>
        <u/>
        <sz val="8"/>
        <color rgb="FF1155CC"/>
        <rFont val="Arial"/>
        <family val="2"/>
      </rPr>
      <t>this</t>
    </r>
    <r>
      <rPr>
        <u/>
        <sz val="8"/>
        <color rgb="FF1155CC"/>
        <rFont val="Arial"/>
        <family val="2"/>
      </rPr>
      <t>.</t>
    </r>
  </si>
  <si>
    <t>Post-TGE</t>
  </si>
  <si>
    <t>CMC Annex C</t>
  </si>
  <si>
    <r>
      <rPr>
        <u/>
        <sz val="8"/>
        <color rgb="FF1155CC"/>
        <rFont val="Arial"/>
        <family val="2"/>
      </rPr>
      <t xml:space="preserve">- Submit </t>
    </r>
    <r>
      <rPr>
        <u/>
        <sz val="8"/>
        <color rgb="FF1155CC"/>
        <rFont val="Arial"/>
        <family val="2"/>
      </rPr>
      <t>Annex C</t>
    </r>
    <r>
      <rPr>
        <u/>
        <sz val="8"/>
        <color rgb="FF1155CC"/>
        <rFont val="Arial"/>
        <family val="2"/>
      </rPr>
      <t xml:space="preserve"> to </t>
    </r>
    <r>
      <rPr>
        <u/>
        <sz val="8"/>
        <color rgb="FF1155CC"/>
        <rFont val="Arial"/>
        <family val="2"/>
      </rPr>
      <t>Form 4</t>
    </r>
    <r>
      <rPr>
        <u/>
        <sz val="8"/>
        <color rgb="FF1155CC"/>
        <rFont val="Arial"/>
        <family val="2"/>
      </rPr>
      <t xml:space="preserve"> </t>
    </r>
    <r>
      <rPr>
        <b/>
        <i/>
        <u/>
        <sz val="8"/>
        <color rgb="FFFF0000"/>
        <rFont val="Arial"/>
        <family val="2"/>
      </rPr>
      <t>after</t>
    </r>
    <r>
      <rPr>
        <i/>
        <u/>
        <sz val="8"/>
        <color rgb="FF1155CC"/>
        <rFont val="Arial"/>
        <family val="2"/>
      </rPr>
      <t xml:space="preserve"> </t>
    </r>
    <r>
      <rPr>
        <u/>
        <sz val="8"/>
        <color rgb="FF1155CC"/>
        <rFont val="Arial"/>
        <family val="2"/>
      </rPr>
      <t>trading starts and token allocations are distributed and visibile on block explorer</t>
    </r>
    <r>
      <rPr>
        <i/>
        <u/>
        <sz val="8"/>
        <color rgb="FF1155CC"/>
        <rFont val="Arial"/>
        <family val="2"/>
      </rPr>
      <t xml:space="preserve">
</t>
    </r>
    <r>
      <rPr>
        <u/>
        <sz val="8"/>
        <color rgb="FF1155CC"/>
        <rFont val="Arial"/>
        <family val="2"/>
      </rPr>
      <t xml:space="preserve">- Follow the detailed instructions in </t>
    </r>
    <r>
      <rPr>
        <u/>
        <sz val="8"/>
        <color rgb="FF1155CC"/>
        <rFont val="Arial"/>
        <family val="2"/>
      </rPr>
      <t>Annex C</t>
    </r>
    <r>
      <rPr>
        <u/>
        <sz val="8"/>
        <color rgb="FF1155CC"/>
        <rFont val="Arial"/>
        <family val="2"/>
      </rPr>
      <t xml:space="preserve"> Row 2</t>
    </r>
  </si>
  <si>
    <t>If applicable</t>
  </si>
  <si>
    <t>Market Pairs</t>
  </si>
  <si>
    <r>
      <rPr>
        <u/>
        <sz val="8"/>
        <color rgb="FF1155CC"/>
        <rFont val="Arial"/>
        <family val="2"/>
      </rPr>
      <t xml:space="preserve">- Submit </t>
    </r>
    <r>
      <rPr>
        <u/>
        <sz val="8"/>
        <color rgb="FF1155CC"/>
        <rFont val="Arial"/>
        <family val="2"/>
      </rPr>
      <t>Form 3</t>
    </r>
    <r>
      <rPr>
        <u/>
        <sz val="8"/>
        <color rgb="FF1155CC"/>
        <rFont val="Arial"/>
        <family val="2"/>
      </rPr>
      <t xml:space="preserve"> to add any missing market pairs
- All Binance/PancakeSwap pairs will be added automatically if the CMC page has the right contract address</t>
    </r>
  </si>
  <si>
    <t>CMC Annex B</t>
  </si>
  <si>
    <r>
      <rPr>
        <u/>
        <sz val="8"/>
        <color rgb="FF1155CC"/>
        <rFont val="Arial"/>
        <family val="2"/>
      </rPr>
      <t xml:space="preserve">- </t>
    </r>
    <r>
      <rPr>
        <u/>
        <sz val="8"/>
        <color rgb="FF1155CC"/>
        <rFont val="Arial"/>
        <family val="2"/>
      </rPr>
      <t>Apply to CMC's Form 5</t>
    </r>
    <r>
      <rPr>
        <u/>
        <sz val="8"/>
        <color rgb="FF1155CC"/>
        <rFont val="Arial"/>
        <family val="2"/>
      </rPr>
      <t xml:space="preserve"> if there is a 1:1/X:1 swap (redenomination) </t>
    </r>
    <r>
      <rPr>
        <u/>
        <sz val="8"/>
        <color rgb="FFFF0000"/>
        <rFont val="Arial"/>
        <family val="2"/>
      </rPr>
      <t>in the future</t>
    </r>
  </si>
  <si>
    <t>Not needed if there is no swap</t>
  </si>
  <si>
    <t>重要提示：所有提交给CMC的资料中，切勿提及币安（Binance），否则将违反上市合同的保密条款，且可能导致撤销任何潜在的币安上市机会。</t>
  </si>
  <si>
    <t>⦁ 所有CMC申请者会默认收到自动回复，回复中会提供是否使用CMC优先服务（CMCP）的选项。</t>
  </si>
  <si>
    <t>⦁ 如果币安官方公布上市，CMC将在币安公告后24小时内免费创建对应页面，内容基于下列第一项信息。</t>
  </si>
  <si>
    <t>序号</t>
  </si>
  <si>
    <t>是否强制？</t>
  </si>
  <si>
    <t>阶段</t>
  </si>
  <si>
    <t>字段</t>
  </si>
  <si>
    <t>说明</t>
  </si>
  <si>
    <t>清单</t>
  </si>
  <si>
    <t>是</t>
  </si>
  <si>
    <t>TGE前</t>
  </si>
  <si>
    <t>CMC 币种上市</t>
  </si>
  <si>
    <r>
      <rPr>
        <u/>
        <sz val="8"/>
        <color rgb="FF1155CC"/>
        <rFont val="Arial"/>
        <family val="2"/>
      </rPr>
      <t xml:space="preserve">- </t>
    </r>
    <r>
      <rPr>
        <u/>
        <sz val="8"/>
        <color rgb="FF1155CC"/>
        <rFont val="Arial"/>
        <family val="2"/>
      </rPr>
      <t xml:space="preserve">提交 CMC表格 1
</t>
    </r>
    <r>
      <rPr>
        <u/>
        <sz val="8"/>
        <color rgb="FF1155CC"/>
        <rFont val="Arial"/>
        <family val="2"/>
      </rPr>
      <t xml:space="preserve">- 与币安就总供应量（TS）、流通供应量（CS）和最大供应量（MS）数据保持一致
- </t>
    </r>
    <r>
      <rPr>
        <u/>
        <sz val="8"/>
        <color rgb="FFFF0000"/>
        <rFont val="Arial"/>
        <family val="2"/>
      </rPr>
      <t xml:space="preserve">确保在申请中提交正确的 </t>
    </r>
    <r>
      <rPr>
        <u/>
        <sz val="8"/>
        <color rgb="FF1155CC"/>
        <rFont val="Arial"/>
        <family val="2"/>
      </rPr>
      <t>TS、CS、MS和合约地址</t>
    </r>
  </si>
  <si>
    <t>CMC SRD 权限</t>
  </si>
  <si>
    <r>
      <rPr>
        <u/>
        <sz val="8"/>
        <color rgb="FF1155CC"/>
        <rFont val="Arial"/>
        <family val="2"/>
      </rPr>
      <t xml:space="preserve">- </t>
    </r>
    <r>
      <rPr>
        <u/>
        <sz val="8"/>
        <color rgb="FF1155CC"/>
        <rFont val="Arial"/>
        <family val="2"/>
      </rPr>
      <t>通过点击右上角的“登录”按钮创建</t>
    </r>
    <r>
      <rPr>
        <u/>
        <sz val="8"/>
        <color rgb="FF1155CC"/>
        <rFont val="Arial"/>
        <family val="2"/>
      </rPr>
      <t xml:space="preserve"> CMC账户
- </t>
    </r>
    <r>
      <rPr>
        <u/>
        <sz val="8"/>
        <color rgb="FF1155CC"/>
        <rFont val="Arial"/>
        <family val="2"/>
      </rPr>
      <t>与币安分享3张截图</t>
    </r>
    <r>
      <rPr>
        <u/>
        <sz val="8"/>
        <color rgb="FF1155CC"/>
        <rFont val="Arial"/>
        <family val="2"/>
      </rPr>
      <t>，以便CMC可以上币并给予</t>
    </r>
    <r>
      <rPr>
        <u/>
        <sz val="8"/>
        <color rgb="FF1155CC"/>
        <rFont val="Arial"/>
        <family val="2"/>
      </rPr>
      <t>项目报告面板（SRD)</t>
    </r>
    <r>
      <rPr>
        <u/>
        <sz val="8"/>
        <color rgb="FF1155CC"/>
        <rFont val="Arial"/>
        <family val="2"/>
      </rPr>
      <t xml:space="preserve"> 权限
- 项目可以在SRD中更新大部分信息</t>
    </r>
  </si>
  <si>
    <t>代币解锁</t>
  </si>
  <si>
    <r>
      <rPr>
        <u/>
        <sz val="8"/>
        <color rgb="FF1155CC"/>
        <rFont val="Arial"/>
        <family val="2"/>
      </rPr>
      <t>- 登录</t>
    </r>
    <r>
      <rPr>
        <u/>
        <sz val="8"/>
        <color rgb="FF1155CC"/>
        <rFont val="Arial"/>
        <family val="2"/>
      </rPr>
      <t>SRD</t>
    </r>
    <r>
      <rPr>
        <u/>
        <sz val="8"/>
        <color rgb="FF1155CC"/>
        <rFont val="Arial"/>
        <family val="2"/>
      </rPr>
      <t>并尽可能多地填写字段（</t>
    </r>
    <r>
      <rPr>
        <u/>
        <sz val="8"/>
        <color rgb="FF1155CC"/>
        <rFont val="Arial"/>
        <family val="2"/>
      </rPr>
      <t>目标是资料完整度&gt;80%</t>
    </r>
    <r>
      <rPr>
        <u/>
        <sz val="8"/>
        <color rgb="FF1155CC"/>
        <rFont val="Arial"/>
        <family val="2"/>
      </rPr>
      <t>）
- 提交代币解锁数据。</t>
    </r>
    <r>
      <rPr>
        <u/>
        <sz val="8"/>
        <color rgb="FF1155CC"/>
        <rFont val="Arial"/>
        <family val="2"/>
      </rPr>
      <t>详细指南请参见此处</t>
    </r>
    <r>
      <rPr>
        <u/>
        <sz val="8"/>
        <color rgb="FF1155CC"/>
        <rFont val="Arial"/>
        <family val="2"/>
      </rPr>
      <t xml:space="preserve">
- 对于进行TGE的项目，首次解锁数量应与CMC上的CS相同
- 提交后，您的CMC页面应跟</t>
    </r>
    <r>
      <rPr>
        <u/>
        <sz val="8"/>
        <color rgb="FF1155CC"/>
        <rFont val="Arial"/>
        <family val="2"/>
      </rPr>
      <t>此截图</t>
    </r>
    <r>
      <rPr>
        <u/>
        <sz val="8"/>
        <color rgb="FF1155CC"/>
        <rFont val="Arial"/>
        <family val="2"/>
      </rPr>
      <t>相同</t>
    </r>
  </si>
  <si>
    <t>TGE后</t>
  </si>
  <si>
    <t>CMC 附录C</t>
  </si>
  <si>
    <r>
      <rPr>
        <u/>
        <sz val="8"/>
        <color rgb="FF1155CC"/>
        <rFont val="Arial"/>
        <family val="2"/>
      </rPr>
      <t>- 在开始交易、代币已分发且在区块浏览器上可见</t>
    </r>
    <r>
      <rPr>
        <b/>
        <u/>
        <sz val="8"/>
        <color rgb="FFFF0000"/>
        <rFont val="Arial"/>
        <family val="2"/>
      </rPr>
      <t>后</t>
    </r>
    <r>
      <rPr>
        <u/>
        <sz val="8"/>
        <color rgb="FF1155CC"/>
        <rFont val="Arial"/>
        <family val="2"/>
      </rPr>
      <t>，将</t>
    </r>
    <r>
      <rPr>
        <u/>
        <sz val="8"/>
        <color rgb="FF1155CC"/>
        <rFont val="Arial"/>
        <family val="2"/>
      </rPr>
      <t>附录C</t>
    </r>
    <r>
      <rPr>
        <u/>
        <sz val="8"/>
        <color rgb="FF1155CC"/>
        <rFont val="Arial"/>
        <family val="2"/>
      </rPr>
      <t>提交至</t>
    </r>
    <r>
      <rPr>
        <u/>
        <sz val="8"/>
        <color rgb="FF1155CC"/>
        <rFont val="Arial"/>
        <family val="2"/>
      </rPr>
      <t xml:space="preserve">表格4
</t>
    </r>
    <r>
      <rPr>
        <u/>
        <sz val="8"/>
        <color rgb="FF1155CC"/>
        <rFont val="Arial"/>
        <family val="2"/>
      </rPr>
      <t>- 遵循</t>
    </r>
    <r>
      <rPr>
        <u/>
        <sz val="8"/>
        <color rgb="FF1155CC"/>
        <rFont val="Arial"/>
        <family val="2"/>
      </rPr>
      <t>附录C</t>
    </r>
    <r>
      <rPr>
        <u/>
        <sz val="8"/>
        <color rgb="FF1155CC"/>
        <rFont val="Arial"/>
        <family val="2"/>
      </rPr>
      <t>第2行的详细指示</t>
    </r>
  </si>
  <si>
    <t>如适用</t>
  </si>
  <si>
    <t>市场交易对</t>
  </si>
  <si>
    <r>
      <rPr>
        <u/>
        <sz val="8"/>
        <color rgb="FF1155CC"/>
        <rFont val="Arial"/>
        <family val="2"/>
      </rPr>
      <t xml:space="preserve">- </t>
    </r>
    <r>
      <rPr>
        <u/>
        <sz val="8"/>
        <color rgb="FF1155CC"/>
        <rFont val="Arial"/>
        <family val="2"/>
      </rPr>
      <t>提交表格3</t>
    </r>
    <r>
      <rPr>
        <u/>
        <sz val="8"/>
        <color rgb="FF1155CC"/>
        <rFont val="Arial"/>
        <family val="2"/>
      </rPr>
      <t>以添加任何缺少的市场交易对
- 如果CMC页面配置正确的合约地址，所有币安/PancakeSwap的交易对将被自动添加</t>
    </r>
  </si>
  <si>
    <t>CMC 附录B</t>
  </si>
  <si>
    <r>
      <rPr>
        <u/>
        <sz val="8"/>
        <color rgb="FF1155CC"/>
        <rFont val="Arial"/>
        <family val="2"/>
      </rPr>
      <t>- 如果</t>
    </r>
    <r>
      <rPr>
        <u/>
        <sz val="8"/>
        <color rgb="FFFF0000"/>
        <rFont val="Arial"/>
        <family val="2"/>
      </rPr>
      <t>未来</t>
    </r>
    <r>
      <rPr>
        <u/>
        <sz val="8"/>
        <color rgb="FF1155CC"/>
        <rFont val="Arial"/>
        <family val="2"/>
      </rPr>
      <t>有1:1/X:1的代币/合约置换（重新计价），</t>
    </r>
    <r>
      <rPr>
        <u/>
        <sz val="8"/>
        <color rgb="FF1155CC"/>
        <rFont val="Arial"/>
        <family val="2"/>
      </rPr>
      <t>请申请CMC的表格5</t>
    </r>
  </si>
  <si>
    <t>如没有置换则不用填写</t>
  </si>
  <si>
    <t>Monetary Policy, Emission Type and Supply Descriptions</t>
  </si>
  <si>
    <t>1. Monetary Policy</t>
  </si>
  <si>
    <t>A) Fixed Supply</t>
  </si>
  <si>
    <t xml:space="preserve">B) Non Capped Supply </t>
  </si>
  <si>
    <t>B) Non Capped Supply (Inflationary based on emmission type)</t>
  </si>
  <si>
    <t>C) Non-Programmatic Deflationary</t>
  </si>
  <si>
    <t>C) Non-Programmatic Deflationary: Supply shrinks over time due to non-programmatic mechanisms such as burns (e.g., BNB)</t>
  </si>
  <si>
    <t>D) Programmatic Deflationary</t>
  </si>
  <si>
    <t>D) Programmatic Deflationary: Supply shrinks over time due to programmatic mechanism (burn schedule, slashing penalties, % of tx value burnt, etc.)</t>
  </si>
  <si>
    <t>E) Burn and Mint Equilibrium</t>
  </si>
  <si>
    <t>E) Burn and Mint Equilibrium: Tokens burned and, separately, protocol mints new tokens per period. (e.g., Factom)</t>
  </si>
  <si>
    <t>F) Other</t>
  </si>
  <si>
    <t>2. Emission Type</t>
  </si>
  <si>
    <t>A) Increasing Issuance</t>
  </si>
  <si>
    <t xml:space="preserve">A) Increasing Issuance: Amount of coins generated per period (block, day, year), increases over time. </t>
  </si>
  <si>
    <t>B) Fixed Inflation Rate</t>
  </si>
  <si>
    <t>B) Fixed Inflation Rate: Increasing issuance based on a fixed inflation rate per period of time (block, day, year).</t>
  </si>
  <si>
    <t>D) Decreasing Inflation Rate</t>
  </si>
  <si>
    <t>D) Decreasing Inflation Rate: Depending on reduction rate of inflation, this model can lead to an increasing, fixed or decreasing issuance per period.</t>
  </si>
  <si>
    <t>E) Decreasing Issuance</t>
  </si>
  <si>
    <t>E) Decreasing Issuance: The amount of coins generated per period (block, day, year) decreases over time. Leads to an exponential decrease of the inflation rate. (e.g., Bitcoin)</t>
  </si>
  <si>
    <t>F) Dynamic Issuance and Inflation Rate</t>
  </si>
  <si>
    <t>F) Dynamic Issuance and Inflation Rate: Amount of coins generated per period (block, day, year) or the inflation rate, depend on specific network conditions such as the % of network staking. (E.g., Cosmos monetary policy targeting a total network stake)</t>
  </si>
  <si>
    <t>E) Other</t>
  </si>
  <si>
    <t>Please fill in the tables below</t>
  </si>
  <si>
    <t>Investor/Insiders breakdown (full cap table) -- add rows if necessary</t>
  </si>
  <si>
    <t>Top 10 investors (excluding team)</t>
  </si>
  <si>
    <t>Divide by the current circulating supply in [Project] TRS V_01 tab</t>
  </si>
  <si>
    <t>Date</t>
  </si>
  <si>
    <t>Investment Round</t>
  </si>
  <si>
    <t>Cost per token</t>
  </si>
  <si>
    <t>Investor</t>
  </si>
  <si>
    <t>No. of Tokens Issued</t>
  </si>
  <si>
    <t>Allocation %</t>
  </si>
  <si>
    <t>ETH/BNB/USDT Contribution Address</t>
  </si>
  <si>
    <t>Wallet Identity</t>
  </si>
  <si>
    <t>Wallet Address</t>
  </si>
  <si>
    <t xml:space="preserve">
% of circulating supply</t>
  </si>
  <si>
    <t xml:space="preserve">
% of total supply </t>
  </si>
  <si>
    <t>Seed</t>
  </si>
  <si>
    <t>Investor 1</t>
  </si>
  <si>
    <t>x%</t>
  </si>
  <si>
    <t>xx</t>
  </si>
  <si>
    <t>[0x12345678912345678912345678]</t>
  </si>
  <si>
    <t>Investor 2</t>
  </si>
  <si>
    <t>Investor 3</t>
  </si>
  <si>
    <t>Strategic</t>
  </si>
  <si>
    <t>Investor 4</t>
  </si>
  <si>
    <t>Investor 5</t>
  </si>
  <si>
    <t>Private</t>
  </si>
  <si>
    <t>Investor 6</t>
  </si>
  <si>
    <t>Investor 7</t>
  </si>
  <si>
    <t>Investor 8</t>
  </si>
  <si>
    <t>Series A</t>
  </si>
  <si>
    <t>Advisor 1</t>
  </si>
  <si>
    <t>Advisor 2</t>
  </si>
  <si>
    <t>Advisor 3</t>
  </si>
  <si>
    <t>Team breakdown (key members only)</t>
  </si>
  <si>
    <t>Team Member Name</t>
  </si>
  <si>
    <t>Job Role / Scope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</si>
  <si>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</si>
  <si>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</si>
  <si>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</si>
  <si>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</si>
  <si>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</si>
  <si>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</si>
  <si>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</si>
  <si>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</si>
  <si>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</si>
  <si>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</si>
  <si>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</si>
  <si>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Advior breakdown</t>
  </si>
  <si>
    <t>Identity of Top 10 existing token holders (if token is already circulating)</t>
  </si>
  <si>
    <t>Advisor</t>
  </si>
  <si>
    <t>Description</t>
  </si>
  <si>
    <t xml:space="preserve">% of total supply </t>
  </si>
  <si>
    <t>Treasury / DAO/ Team</t>
  </si>
  <si>
    <t>y%</t>
  </si>
  <si>
    <t>Bybit/Gate/Coinbase</t>
  </si>
  <si>
    <t>Locked tokens for xyz investor</t>
  </si>
  <si>
    <t>will be unlocked in []</t>
  </si>
  <si>
    <t>etc</t>
  </si>
  <si>
    <t>3. Supply Cap</t>
  </si>
  <si>
    <t>A) Capped (Maximum hard-coded supply)</t>
  </si>
  <si>
    <t xml:space="preserve">B) Uncapped (constant emission) </t>
  </si>
  <si>
    <t>Guidelines: Please add / delete columns D:K as necessary. All cells in yellow may be edited. DO NOT edit cells in white / grey or manipulate formulas.</t>
  </si>
  <si>
    <t xml:space="preserve">Public Sale Date </t>
  </si>
  <si>
    <t>Market Cap at Listing ($)</t>
  </si>
  <si>
    <t>TOKEN ECONOMY OVERVIEW</t>
  </si>
  <si>
    <t>Private Sale 1</t>
  </si>
  <si>
    <t>Seed Sale</t>
  </si>
  <si>
    <t>Ecosystem</t>
  </si>
  <si>
    <t>Block Rewards</t>
  </si>
  <si>
    <t>Token Treasury</t>
  </si>
  <si>
    <t>Strategic Sale</t>
  </si>
  <si>
    <t>Sale Date</t>
  </si>
  <si>
    <t>N/A</t>
  </si>
  <si>
    <t>% of Total Supply</t>
  </si>
  <si>
    <t>-</t>
  </si>
  <si>
    <t>Valuation per round ($)</t>
  </si>
  <si>
    <t>VESTING SCHEDULE ASSUMPTIONS</t>
  </si>
  <si>
    <t>Cliff? (Y/N)</t>
  </si>
  <si>
    <t>No</t>
  </si>
  <si>
    <t>% Tokens Released at Cliff</t>
  </si>
  <si>
    <t># Tokens Released at Cliff</t>
  </si>
  <si>
    <t>Vesting Cliff (Months)</t>
  </si>
  <si>
    <t>Total Vesting Period (Months)</t>
  </si>
  <si>
    <t>Vesting Months Remaining after Cliff</t>
  </si>
  <si>
    <t>Vesting Frequency (Months)</t>
  </si>
  <si>
    <t>Remaining Vesting Periods</t>
  </si>
  <si>
    <t>Tokens Released per Vesting Period</t>
  </si>
  <si>
    <t>--&gt; Month 0</t>
  </si>
  <si>
    <t>--&gt; Month 3</t>
  </si>
  <si>
    <t>--&gt; Month 6</t>
  </si>
  <si>
    <t>--&gt; Month 9</t>
  </si>
  <si>
    <t>--&gt; Month 12</t>
  </si>
  <si>
    <t>--&gt; Month 15</t>
  </si>
  <si>
    <t>--&gt; Month 18</t>
  </si>
  <si>
    <t>--&gt; Month 21</t>
  </si>
  <si>
    <t>--&gt; Month 24</t>
  </si>
  <si>
    <t>--&gt; Month 27</t>
  </si>
  <si>
    <t>--&gt; Month 30</t>
  </si>
  <si>
    <t>--&gt; Month 33</t>
  </si>
  <si>
    <t>--&gt; Month 36</t>
  </si>
  <si>
    <t>--&gt; Month 39</t>
  </si>
  <si>
    <t>--&gt; Month 42</t>
  </si>
  <si>
    <t>--&gt; Month 45</t>
  </si>
  <si>
    <t>--&gt; Month 48</t>
  </si>
  <si>
    <t>--&gt; Month 51</t>
  </si>
  <si>
    <t>--&gt; Month 54</t>
  </si>
  <si>
    <t>--&gt; Month 57</t>
  </si>
  <si>
    <t>--&gt; Month 60</t>
  </si>
  <si>
    <t>[Project Team: Please add or delete columns B:J as necessary]  All cells in yellow may be edited. Please leave all grey boxes, as they already have formulas.</t>
  </si>
  <si>
    <t>Token Sale Overview</t>
  </si>
  <si>
    <t>Vesting Schedule Assumptions</t>
  </si>
  <si>
    <t>Total Tokens</t>
  </si>
  <si>
    <t>Remaining Tokens to be Vested</t>
  </si>
  <si>
    <t># Daily active users</t>
  </si>
  <si>
    <t>Others (Open to suggestion)</t>
  </si>
  <si>
    <t>TGE date&gt;&gt;&gt;</t>
  </si>
  <si>
    <t>[Link]</t>
    <phoneticPr fontId="4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</si>
</sst>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d\ mmm\,\ yyyy"/>
    <numFmt numFmtId="177" formatCode="&quot;$&quot;#,##0.000"/>
    <numFmt numFmtId="178" formatCode="&quot;$&quot;#,##0"/>
    <numFmt numFmtId="179" formatCode="mmm&quot; &quot;yyyy"/>
    <numFmt numFmtId="180" formatCode="#,##0.000"/>
    <numFmt numFmtId="181" formatCode="&quot;$&quot;#,##0.00"/>
    <numFmt numFmtId="182" formatCode="#,000"/>
    <numFmt numFmtId="183" formatCode="mmmm&quot; &quot;d&quot;, &quot;yyyy"/>
    <numFmt numFmtId="184" formatCode="d\ mmm\ yyyy"/>
  </numFmts>
  <fonts count="47" x14ac:knownFonts="1"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5"/>
      <color theme="1"/>
      <name val="Arial"/>
      <family val="2"/>
      <scheme val="minor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sz val="10"/>
      <color theme="1"/>
      <name val="Roboto"/>
    </font>
    <font>
      <sz val="10"/>
      <color rgb="FFFFFFFF"/>
      <name val="Arial"/>
      <family val="2"/>
      <scheme val="minor"/>
    </font>
    <font>
      <sz val="10"/>
      <color rgb="FF0000FF"/>
      <name val="Arial"/>
      <family val="2"/>
      <scheme val="minor"/>
    </font>
    <font>
      <sz val="10"/>
      <color rgb="FFF3F3F3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b/>
      <i/>
      <sz val="10"/>
      <color theme="1"/>
      <name val="Arial"/>
      <family val="2"/>
    </font>
    <font>
      <u/>
      <sz val="10"/>
      <color rgb="FFFF0000"/>
      <name val="Arial"/>
      <family val="2"/>
    </font>
    <font>
      <u/>
      <sz val="10"/>
      <color rgb="FFFF0000"/>
      <name val="Arial"/>
      <family val="2"/>
    </font>
    <font>
      <b/>
      <sz val="10"/>
      <color rgb="FFFFFFFF"/>
      <name val="Arial"/>
      <family val="2"/>
    </font>
    <font>
      <b/>
      <u/>
      <sz val="10"/>
      <color rgb="FF1155CC"/>
      <name val="Arial"/>
      <family val="2"/>
    </font>
    <font>
      <u/>
      <sz val="8"/>
      <color rgb="FF1155CC"/>
      <name val="Arial"/>
      <family val="2"/>
    </font>
    <font>
      <u/>
      <sz val="8"/>
      <color rgb="FF1155CC"/>
      <name val="Arial"/>
      <family val="2"/>
    </font>
    <font>
      <b/>
      <u/>
      <sz val="10"/>
      <color rgb="FF1155CC"/>
      <name val="Arial"/>
      <family val="2"/>
    </font>
    <font>
      <u/>
      <sz val="8"/>
      <color rgb="FF1155CC"/>
      <name val="Arial"/>
      <family val="2"/>
    </font>
    <font>
      <b/>
      <u/>
      <sz val="10"/>
      <color rgb="FF1155CC"/>
      <name val="Arial"/>
      <family val="2"/>
    </font>
    <font>
      <u/>
      <sz val="8"/>
      <color rgb="FF1155CC"/>
      <name val="Arial"/>
      <family val="2"/>
    </font>
    <font>
      <b/>
      <sz val="10"/>
      <color rgb="FFFF000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i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i/>
      <u/>
      <sz val="10"/>
      <color rgb="FFFF0000"/>
      <name val="Arial"/>
      <family val="2"/>
    </font>
    <font>
      <b/>
      <i/>
      <u/>
      <sz val="10"/>
      <color rgb="FFFF0000"/>
      <name val="Arial"/>
      <family val="2"/>
    </font>
    <font>
      <u/>
      <sz val="8"/>
      <color rgb="FF000000"/>
      <name val="Arial"/>
      <family val="2"/>
    </font>
    <font>
      <u/>
      <sz val="8"/>
      <color rgb="FFFF0000"/>
      <name val="Arial"/>
      <family val="2"/>
    </font>
    <font>
      <b/>
      <u/>
      <sz val="8"/>
      <color rgb="FFFF0000"/>
      <name val="Arial"/>
      <family val="2"/>
    </font>
    <font>
      <b/>
      <i/>
      <u/>
      <sz val="8"/>
      <color rgb="FFFF0000"/>
      <name val="Arial"/>
      <family val="2"/>
    </font>
    <font>
      <i/>
      <u/>
      <sz val="8"/>
      <color rgb="FF1155CC"/>
      <name val="Arial"/>
      <family val="2"/>
    </font>
    <font>
      <sz val="9"/>
      <name val="Arial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  <fill>
      <patternFill patternType="solid">
        <fgColor rgb="FFDDEBF7"/>
        <bgColor rgb="FFDDEBF7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FF"/>
      </left>
      <right/>
      <top/>
      <bottom/>
      <diagonal/>
    </border>
    <border>
      <left/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/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3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/>
    <xf numFmtId="0" fontId="4" fillId="0" borderId="0" xfId="0" applyFont="1"/>
    <xf numFmtId="0" fontId="2" fillId="0" borderId="0" xfId="0" applyFont="1"/>
    <xf numFmtId="3" fontId="4" fillId="2" borderId="4" xfId="0" applyNumberFormat="1" applyFont="1" applyFill="1" applyBorder="1" applyAlignment="1">
      <alignment horizontal="left"/>
    </xf>
    <xf numFmtId="3" fontId="2" fillId="3" borderId="5" xfId="0" applyNumberFormat="1" applyFont="1" applyFill="1" applyBorder="1" applyAlignment="1">
      <alignment horizontal="center"/>
    </xf>
    <xf numFmtId="0" fontId="3" fillId="2" borderId="6" xfId="0" applyFont="1" applyFill="1" applyBorder="1"/>
    <xf numFmtId="0" fontId="4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3" fillId="2" borderId="9" xfId="0" applyFont="1" applyFill="1" applyBorder="1"/>
    <xf numFmtId="30" fontId="5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/>
    </xf>
    <xf numFmtId="3" fontId="2" fillId="4" borderId="5" xfId="0" applyNumberFormat="1" applyFont="1" applyFill="1" applyBorder="1"/>
    <xf numFmtId="3" fontId="2" fillId="0" borderId="0" xfId="0" applyNumberFormat="1" applyFont="1" applyAlignment="1">
      <alignment horizontal="right"/>
    </xf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6" fillId="0" borderId="0" xfId="0" applyNumberFormat="1" applyFont="1"/>
    <xf numFmtId="0" fontId="4" fillId="5" borderId="5" xfId="0" applyFont="1" applyFill="1" applyBorder="1" applyAlignment="1">
      <alignment horizontal="right" vertical="center"/>
    </xf>
    <xf numFmtId="0" fontId="4" fillId="5" borderId="5" xfId="0" applyFont="1" applyFill="1" applyBorder="1" applyAlignment="1">
      <alignment horizontal="center" vertical="center"/>
    </xf>
    <xf numFmtId="10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3" fontId="4" fillId="2" borderId="28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0" fontId="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4" fillId="2" borderId="37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40" xfId="0" applyFont="1" applyFill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 wrapText="1"/>
    </xf>
    <xf numFmtId="0" fontId="4" fillId="9" borderId="37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42" xfId="0" applyFont="1" applyFill="1" applyBorder="1" applyAlignment="1">
      <alignment horizontal="center" vertical="center"/>
    </xf>
    <xf numFmtId="10" fontId="4" fillId="10" borderId="41" xfId="0" applyNumberFormat="1" applyFont="1" applyFill="1" applyBorder="1" applyAlignment="1">
      <alignment horizontal="center" vertical="center" wrapText="1"/>
    </xf>
    <xf numFmtId="10" fontId="4" fillId="10" borderId="4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3" fontId="11" fillId="6" borderId="28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3" fontId="11" fillId="6" borderId="42" xfId="0" applyNumberFormat="1" applyFont="1" applyFill="1" applyBorder="1" applyAlignment="1">
      <alignment horizontal="center" vertical="center"/>
    </xf>
    <xf numFmtId="3" fontId="2" fillId="10" borderId="41" xfId="0" applyNumberFormat="1" applyFont="1" applyFill="1" applyBorder="1" applyAlignment="1">
      <alignment horizontal="center" vertical="center" wrapText="1"/>
    </xf>
    <xf numFmtId="3" fontId="4" fillId="10" borderId="41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3" fontId="4" fillId="8" borderId="41" xfId="0" applyNumberFormat="1" applyFont="1" applyFill="1" applyBorder="1" applyAlignment="1">
      <alignment horizontal="center" vertical="center" wrapText="1"/>
    </xf>
    <xf numFmtId="3" fontId="4" fillId="9" borderId="41" xfId="0" applyNumberFormat="1" applyFont="1" applyFill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/>
    </xf>
    <xf numFmtId="3" fontId="4" fillId="10" borderId="41" xfId="0" applyNumberFormat="1" applyFont="1" applyFill="1" applyBorder="1" applyAlignment="1">
      <alignment horizontal="center" vertical="center" wrapText="1"/>
    </xf>
    <xf numFmtId="0" fontId="4" fillId="8" borderId="41" xfId="0" applyFont="1" applyFill="1" applyBorder="1" applyAlignment="1">
      <alignment horizontal="center" vertical="center"/>
    </xf>
    <xf numFmtId="10" fontId="2" fillId="8" borderId="28" xfId="0" applyNumberFormat="1" applyFont="1" applyFill="1" applyBorder="1" applyAlignment="1">
      <alignment horizontal="center" vertical="center"/>
    </xf>
    <xf numFmtId="10" fontId="2" fillId="8" borderId="5" xfId="0" applyNumberFormat="1" applyFont="1" applyFill="1" applyBorder="1" applyAlignment="1">
      <alignment horizontal="center" vertical="center"/>
    </xf>
    <xf numFmtId="10" fontId="2" fillId="10" borderId="42" xfId="0" applyNumberFormat="1" applyFont="1" applyFill="1" applyBorder="1" applyAlignment="1">
      <alignment horizontal="center" vertical="center"/>
    </xf>
    <xf numFmtId="10" fontId="4" fillId="8" borderId="41" xfId="0" applyNumberFormat="1" applyFont="1" applyFill="1" applyBorder="1" applyAlignment="1">
      <alignment horizontal="center" vertical="center" wrapText="1"/>
    </xf>
    <xf numFmtId="0" fontId="4" fillId="9" borderId="41" xfId="0" applyFont="1" applyFill="1" applyBorder="1" applyAlignment="1">
      <alignment horizontal="center" vertical="center"/>
    </xf>
    <xf numFmtId="10" fontId="2" fillId="9" borderId="28" xfId="0" applyNumberFormat="1" applyFont="1" applyFill="1" applyBorder="1" applyAlignment="1">
      <alignment horizontal="center" vertical="center"/>
    </xf>
    <xf numFmtId="10" fontId="2" fillId="9" borderId="5" xfId="0" applyNumberFormat="1" applyFont="1" applyFill="1" applyBorder="1" applyAlignment="1">
      <alignment horizontal="center" vertical="center"/>
    </xf>
    <xf numFmtId="10" fontId="2" fillId="9" borderId="42" xfId="0" applyNumberFormat="1" applyFont="1" applyFill="1" applyBorder="1" applyAlignment="1">
      <alignment horizontal="center" vertical="center"/>
    </xf>
    <xf numFmtId="0" fontId="6" fillId="10" borderId="41" xfId="0" applyFont="1" applyFill="1" applyBorder="1"/>
    <xf numFmtId="10" fontId="4" fillId="9" borderId="41" xfId="0" applyNumberFormat="1" applyFont="1" applyFill="1" applyBorder="1" applyAlignment="1">
      <alignment horizontal="center" vertical="center" wrapText="1"/>
    </xf>
    <xf numFmtId="177" fontId="11" fillId="6" borderId="28" xfId="0" applyNumberFormat="1" applyFont="1" applyFill="1" applyBorder="1" applyAlignment="1">
      <alignment horizontal="center" vertical="center"/>
    </xf>
    <xf numFmtId="177" fontId="11" fillId="6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2" fillId="2" borderId="5" xfId="0" applyNumberFormat="1" applyFont="1" applyFill="1" applyBorder="1" applyAlignment="1">
      <alignment horizontal="center" vertical="center"/>
    </xf>
    <xf numFmtId="4" fontId="2" fillId="2" borderId="42" xfId="0" applyNumberFormat="1" applyFont="1" applyFill="1" applyBorder="1" applyAlignment="1">
      <alignment horizontal="center" vertical="center"/>
    </xf>
    <xf numFmtId="4" fontId="2" fillId="10" borderId="41" xfId="0" applyNumberFormat="1" applyFont="1" applyFill="1" applyBorder="1" applyAlignment="1">
      <alignment horizontal="center" vertical="center" wrapText="1"/>
    </xf>
    <xf numFmtId="178" fontId="2" fillId="2" borderId="28" xfId="0" applyNumberFormat="1" applyFont="1" applyFill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178" fontId="2" fillId="2" borderId="42" xfId="0" applyNumberFormat="1" applyFont="1" applyFill="1" applyBorder="1" applyAlignment="1">
      <alignment horizontal="center" vertical="center"/>
    </xf>
    <xf numFmtId="178" fontId="4" fillId="2" borderId="41" xfId="0" applyNumberFormat="1" applyFont="1" applyFill="1" applyBorder="1" applyAlignment="1">
      <alignment horizontal="center" vertical="center" wrapText="1"/>
    </xf>
    <xf numFmtId="178" fontId="4" fillId="10" borderId="41" xfId="0" applyNumberFormat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178" fontId="2" fillId="2" borderId="31" xfId="0" applyNumberFormat="1" applyFont="1" applyFill="1" applyBorder="1" applyAlignment="1">
      <alignment horizontal="center" vertical="center"/>
    </xf>
    <xf numFmtId="178" fontId="2" fillId="2" borderId="44" xfId="0" applyNumberFormat="1" applyFont="1" applyFill="1" applyBorder="1" applyAlignment="1">
      <alignment horizontal="center" vertical="center"/>
    </xf>
    <xf numFmtId="178" fontId="2" fillId="2" borderId="45" xfId="0" applyNumberFormat="1" applyFont="1" applyFill="1" applyBorder="1" applyAlignment="1">
      <alignment horizontal="center" vertical="center"/>
    </xf>
    <xf numFmtId="178" fontId="4" fillId="10" borderId="43" xfId="0" applyNumberFormat="1" applyFont="1" applyFill="1" applyBorder="1" applyAlignment="1">
      <alignment horizontal="center" vertical="center" wrapText="1"/>
    </xf>
    <xf numFmtId="178" fontId="4" fillId="10" borderId="43" xfId="0" applyNumberFormat="1" applyFont="1" applyFill="1" applyBorder="1" applyAlignment="1">
      <alignment horizontal="center" vertical="center"/>
    </xf>
    <xf numFmtId="3" fontId="11" fillId="5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12" fillId="6" borderId="4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179" fontId="2" fillId="2" borderId="5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3" fontId="11" fillId="6" borderId="4" xfId="0" applyNumberFormat="1" applyFont="1" applyFill="1" applyBorder="1" applyAlignment="1">
      <alignment horizontal="right" vertical="center"/>
    </xf>
    <xf numFmtId="3" fontId="11" fillId="6" borderId="5" xfId="0" applyNumberFormat="1" applyFont="1" applyFill="1" applyBorder="1" applyAlignment="1">
      <alignment horizontal="right" vertical="center"/>
    </xf>
    <xf numFmtId="3" fontId="11" fillId="6" borderId="6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10" fontId="2" fillId="2" borderId="5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vertical="center"/>
    </xf>
    <xf numFmtId="10" fontId="15" fillId="2" borderId="6" xfId="0" applyNumberFormat="1" applyFont="1" applyFill="1" applyBorder="1"/>
    <xf numFmtId="4" fontId="1" fillId="2" borderId="51" xfId="0" applyNumberFormat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10" fontId="6" fillId="2" borderId="6" xfId="0" applyNumberFormat="1" applyFont="1" applyFill="1" applyBorder="1" applyAlignment="1">
      <alignment vertical="center"/>
    </xf>
    <xf numFmtId="180" fontId="11" fillId="6" borderId="5" xfId="0" applyNumberFormat="1" applyFont="1" applyFill="1" applyBorder="1" applyAlignment="1">
      <alignment horizontal="right" vertical="center"/>
    </xf>
    <xf numFmtId="10" fontId="11" fillId="6" borderId="5" xfId="0" applyNumberFormat="1" applyFont="1" applyFill="1" applyBorder="1" applyAlignment="1">
      <alignment horizontal="right" vertical="center"/>
    </xf>
    <xf numFmtId="0" fontId="11" fillId="6" borderId="5" xfId="0" applyFont="1" applyFill="1" applyBorder="1" applyAlignment="1">
      <alignment horizontal="right" vertical="center"/>
    </xf>
    <xf numFmtId="3" fontId="2" fillId="2" borderId="7" xfId="0" applyNumberFormat="1" applyFont="1" applyFill="1" applyBorder="1" applyAlignment="1">
      <alignment horizontal="right" vertical="center"/>
    </xf>
    <xf numFmtId="10" fontId="2" fillId="2" borderId="8" xfId="0" applyNumberFormat="1" applyFont="1" applyFill="1" applyBorder="1" applyAlignment="1">
      <alignment horizontal="right" vertical="center"/>
    </xf>
    <xf numFmtId="10" fontId="6" fillId="2" borderId="9" xfId="0" applyNumberFormat="1" applyFont="1" applyFill="1" applyBorder="1" applyAlignment="1">
      <alignment vertical="center"/>
    </xf>
    <xf numFmtId="4" fontId="1" fillId="2" borderId="52" xfId="0" applyNumberFormat="1" applyFont="1" applyFill="1" applyBorder="1" applyAlignment="1">
      <alignment vertical="center"/>
    </xf>
    <xf numFmtId="3" fontId="4" fillId="0" borderId="53" xfId="0" applyNumberFormat="1" applyFont="1" applyBorder="1" applyAlignment="1">
      <alignment horizontal="right" vertical="center"/>
    </xf>
    <xf numFmtId="3" fontId="4" fillId="0" borderId="54" xfId="0" applyNumberFormat="1" applyFont="1" applyBorder="1" applyAlignment="1">
      <alignment horizontal="right" vertical="center"/>
    </xf>
    <xf numFmtId="3" fontId="4" fillId="0" borderId="55" xfId="0" applyNumberFormat="1" applyFont="1" applyBorder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10" fontId="3" fillId="11" borderId="7" xfId="0" applyNumberFormat="1" applyFont="1" applyFill="1" applyBorder="1" applyAlignment="1">
      <alignment horizontal="right" vertical="center"/>
    </xf>
    <xf numFmtId="10" fontId="3" fillId="11" borderId="8" xfId="0" applyNumberFormat="1" applyFont="1" applyFill="1" applyBorder="1" applyAlignment="1">
      <alignment horizontal="right" vertical="center"/>
    </xf>
    <xf numFmtId="10" fontId="18" fillId="11" borderId="9" xfId="0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 wrapText="1"/>
    </xf>
    <xf numFmtId="3" fontId="2" fillId="5" borderId="5" xfId="0" applyNumberFormat="1" applyFont="1" applyFill="1" applyBorder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1" fillId="12" borderId="56" xfId="0" applyFont="1" applyFill="1" applyBorder="1" applyAlignment="1">
      <alignment horizontal="center" vertical="center" wrapText="1"/>
    </xf>
    <xf numFmtId="0" fontId="21" fillId="12" borderId="57" xfId="0" applyFont="1" applyFill="1" applyBorder="1" applyAlignment="1">
      <alignment horizontal="center" vertical="center" wrapText="1"/>
    </xf>
    <xf numFmtId="0" fontId="4" fillId="13" borderId="50" xfId="0" applyFont="1" applyFill="1" applyBorder="1" applyAlignment="1">
      <alignment horizontal="center" vertical="center" wrapText="1"/>
    </xf>
    <xf numFmtId="0" fontId="22" fillId="13" borderId="50" xfId="0" applyFont="1" applyFill="1" applyBorder="1" applyAlignment="1">
      <alignment horizontal="center" vertical="center" wrapText="1"/>
    </xf>
    <xf numFmtId="0" fontId="2" fillId="13" borderId="50" xfId="0" applyFont="1" applyFill="1" applyBorder="1" applyAlignment="1">
      <alignment horizontal="center" vertical="center" wrapText="1"/>
    </xf>
    <xf numFmtId="0" fontId="4" fillId="3" borderId="50" xfId="0" applyFont="1" applyFill="1" applyBorder="1" applyAlignment="1">
      <alignment horizontal="center" vertical="center" wrapText="1"/>
    </xf>
    <xf numFmtId="0" fontId="25" fillId="3" borderId="50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4" fillId="14" borderId="50" xfId="0" applyFont="1" applyFill="1" applyBorder="1" applyAlignment="1">
      <alignment horizontal="center" vertical="center" wrapText="1"/>
    </xf>
    <xf numFmtId="0" fontId="27" fillId="14" borderId="50" xfId="0" applyFont="1" applyFill="1" applyBorder="1" applyAlignment="1">
      <alignment horizontal="center" vertical="center" wrapText="1"/>
    </xf>
    <xf numFmtId="0" fontId="2" fillId="14" borderId="50" xfId="0" applyFont="1" applyFill="1" applyBorder="1" applyAlignment="1">
      <alignment vertical="center" wrapText="1"/>
    </xf>
    <xf numFmtId="0" fontId="29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1" fillId="12" borderId="50" xfId="0" applyFont="1" applyFill="1" applyBorder="1" applyAlignment="1">
      <alignment horizontal="center" vertical="center" wrapText="1"/>
    </xf>
    <xf numFmtId="0" fontId="2" fillId="13" borderId="50" xfId="0" applyFont="1" applyFill="1" applyBorder="1" applyAlignment="1">
      <alignment horizontal="center" vertical="center"/>
    </xf>
    <xf numFmtId="0" fontId="30" fillId="13" borderId="50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31" fillId="3" borderId="50" xfId="0" applyFont="1" applyFill="1" applyBorder="1" applyAlignment="1">
      <alignment horizontal="center" vertical="center"/>
    </xf>
    <xf numFmtId="0" fontId="2" fillId="14" borderId="50" xfId="0" applyFont="1" applyFill="1" applyBorder="1" applyAlignment="1">
      <alignment horizontal="center" vertical="center"/>
    </xf>
    <xf numFmtId="0" fontId="32" fillId="14" borderId="50" xfId="0" applyFont="1" applyFill="1" applyBorder="1" applyAlignment="1">
      <alignment horizontal="center" vertical="center"/>
    </xf>
    <xf numFmtId="0" fontId="33" fillId="14" borderId="50" xfId="0" applyFont="1" applyFill="1" applyBorder="1" applyAlignment="1">
      <alignment vertical="center"/>
    </xf>
    <xf numFmtId="0" fontId="5" fillId="0" borderId="0" xfId="0" applyFont="1"/>
    <xf numFmtId="0" fontId="5" fillId="5" borderId="5" xfId="0" applyFont="1" applyFill="1" applyBorder="1"/>
    <xf numFmtId="0" fontId="2" fillId="5" borderId="5" xfId="0" applyFont="1" applyFill="1" applyBorder="1"/>
    <xf numFmtId="0" fontId="1" fillId="0" borderId="0" xfId="0" applyFont="1"/>
    <xf numFmtId="0" fontId="34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5" fillId="0" borderId="0" xfId="0" applyFont="1"/>
    <xf numFmtId="0" fontId="6" fillId="0" borderId="0" xfId="0" applyFont="1"/>
    <xf numFmtId="0" fontId="4" fillId="0" borderId="50" xfId="0" applyFont="1" applyBorder="1" applyAlignment="1">
      <alignment horizontal="center" wrapText="1"/>
    </xf>
    <xf numFmtId="0" fontId="4" fillId="0" borderId="62" xfId="0" applyFont="1" applyBorder="1" applyAlignment="1">
      <alignment horizontal="center" wrapText="1"/>
    </xf>
    <xf numFmtId="0" fontId="34" fillId="0" borderId="50" xfId="0" applyFont="1" applyBorder="1" applyAlignment="1">
      <alignment horizontal="center" wrapText="1"/>
    </xf>
    <xf numFmtId="0" fontId="2" fillId="0" borderId="63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181" fontId="2" fillId="0" borderId="64" xfId="0" applyNumberFormat="1" applyFont="1" applyBorder="1" applyAlignment="1">
      <alignment horizontal="center"/>
    </xf>
    <xf numFmtId="0" fontId="35" fillId="0" borderId="50" xfId="0" applyFont="1" applyBorder="1" applyAlignment="1">
      <alignment horizontal="center"/>
    </xf>
    <xf numFmtId="0" fontId="36" fillId="0" borderId="50" xfId="0" applyFont="1" applyBorder="1" applyAlignment="1">
      <alignment horizontal="center"/>
    </xf>
    <xf numFmtId="10" fontId="35" fillId="0" borderId="50" xfId="0" applyNumberFormat="1" applyFont="1" applyBorder="1" applyAlignment="1">
      <alignment horizontal="center"/>
    </xf>
    <xf numFmtId="0" fontId="6" fillId="0" borderId="50" xfId="0" applyFont="1" applyBorder="1" applyAlignment="1">
      <alignment horizontal="left" vertical="top" wrapText="1"/>
    </xf>
    <xf numFmtId="0" fontId="6" fillId="0" borderId="50" xfId="0" applyFont="1" applyBorder="1" applyAlignment="1">
      <alignment horizontal="left" wrapText="1"/>
    </xf>
    <xf numFmtId="0" fontId="2" fillId="0" borderId="50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181" fontId="2" fillId="0" borderId="62" xfId="0" applyNumberFormat="1" applyFont="1" applyBorder="1" applyAlignment="1">
      <alignment horizontal="center"/>
    </xf>
    <xf numFmtId="0" fontId="4" fillId="0" borderId="65" xfId="0" applyFont="1" applyBorder="1"/>
    <xf numFmtId="0" fontId="2" fillId="0" borderId="65" xfId="0" applyFont="1" applyBorder="1"/>
    <xf numFmtId="0" fontId="35" fillId="0" borderId="66" xfId="0" applyFont="1" applyBorder="1"/>
    <xf numFmtId="0" fontId="4" fillId="0" borderId="67" xfId="0" applyFont="1" applyBorder="1" applyAlignment="1">
      <alignment horizontal="center" wrapText="1"/>
    </xf>
    <xf numFmtId="0" fontId="4" fillId="0" borderId="67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6" fillId="0" borderId="67" xfId="0" applyFont="1" applyBorder="1" applyAlignment="1">
      <alignment horizontal="center"/>
    </xf>
    <xf numFmtId="10" fontId="2" fillId="0" borderId="67" xfId="0" applyNumberFormat="1" applyFont="1" applyBorder="1" applyAlignment="1">
      <alignment horizontal="center"/>
    </xf>
    <xf numFmtId="0" fontId="2" fillId="0" borderId="67" xfId="0" applyFont="1" applyBorder="1" applyAlignment="1">
      <alignment vertical="top"/>
    </xf>
    <xf numFmtId="0" fontId="2" fillId="0" borderId="67" xfId="0" applyFont="1" applyBorder="1"/>
    <xf numFmtId="0" fontId="2" fillId="5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right"/>
    </xf>
    <xf numFmtId="0" fontId="4" fillId="2" borderId="68" xfId="0" applyFont="1" applyFill="1" applyBorder="1" applyAlignment="1">
      <alignment horizontal="right"/>
    </xf>
    <xf numFmtId="0" fontId="11" fillId="4" borderId="1" xfId="0" applyFont="1" applyFill="1" applyBorder="1" applyAlignment="1">
      <alignment horizontal="center"/>
    </xf>
    <xf numFmtId="0" fontId="3" fillId="2" borderId="68" xfId="0" applyFont="1" applyFill="1" applyBorder="1"/>
    <xf numFmtId="0" fontId="4" fillId="0" borderId="0" xfId="0" applyFont="1" applyAlignment="1">
      <alignment horizontal="left"/>
    </xf>
    <xf numFmtId="3" fontId="4" fillId="2" borderId="5" xfId="0" applyNumberFormat="1" applyFont="1" applyFill="1" applyBorder="1" applyAlignment="1">
      <alignment horizontal="right"/>
    </xf>
    <xf numFmtId="3" fontId="4" fillId="2" borderId="51" xfId="0" applyNumberFormat="1" applyFont="1" applyFill="1" applyBorder="1" applyAlignment="1">
      <alignment horizontal="right"/>
    </xf>
    <xf numFmtId="182" fontId="11" fillId="4" borderId="4" xfId="0" applyNumberFormat="1" applyFont="1" applyFill="1" applyBorder="1" applyAlignment="1">
      <alignment horizontal="center"/>
    </xf>
    <xf numFmtId="0" fontId="3" fillId="2" borderId="51" xfId="0" applyFont="1" applyFill="1" applyBorder="1"/>
    <xf numFmtId="0" fontId="4" fillId="2" borderId="51" xfId="0" applyFont="1" applyFill="1" applyBorder="1" applyAlignment="1">
      <alignment horizontal="right"/>
    </xf>
    <xf numFmtId="183" fontId="2" fillId="7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6" fillId="0" borderId="69" xfId="0" applyFont="1" applyBorder="1"/>
    <xf numFmtId="10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70" xfId="0" applyFont="1" applyBorder="1" applyAlignment="1">
      <alignment horizontal="right"/>
    </xf>
    <xf numFmtId="178" fontId="4" fillId="7" borderId="7" xfId="0" applyNumberFormat="1" applyFont="1" applyFill="1" applyBorder="1" applyAlignment="1">
      <alignment horizontal="center"/>
    </xf>
    <xf numFmtId="10" fontId="4" fillId="0" borderId="63" xfId="0" applyNumberFormat="1" applyFont="1" applyBorder="1" applyAlignment="1">
      <alignment horizontal="right"/>
    </xf>
    <xf numFmtId="0" fontId="2" fillId="5" borderId="5" xfId="0" applyFont="1" applyFill="1" applyBorder="1" applyAlignment="1">
      <alignment horizontal="right"/>
    </xf>
    <xf numFmtId="0" fontId="4" fillId="5" borderId="8" xfId="0" applyFont="1" applyFill="1" applyBorder="1" applyAlignment="1">
      <alignment horizontal="right"/>
    </xf>
    <xf numFmtId="0" fontId="4" fillId="7" borderId="8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4" borderId="8" xfId="0" applyFont="1" applyFill="1" applyBorder="1" applyAlignment="1">
      <alignment horizontal="center"/>
    </xf>
    <xf numFmtId="183" fontId="2" fillId="7" borderId="2" xfId="0" applyNumberFormat="1" applyFont="1" applyFill="1" applyBorder="1" applyAlignment="1">
      <alignment horizontal="center"/>
    </xf>
    <xf numFmtId="183" fontId="11" fillId="4" borderId="2" xfId="0" applyNumberFormat="1" applyFont="1" applyFill="1" applyBorder="1" applyAlignment="1">
      <alignment horizontal="center"/>
    </xf>
    <xf numFmtId="3" fontId="11" fillId="4" borderId="2" xfId="0" applyNumberFormat="1" applyFont="1" applyFill="1" applyBorder="1" applyAlignment="1">
      <alignment horizontal="center"/>
    </xf>
    <xf numFmtId="3" fontId="4" fillId="0" borderId="55" xfId="0" applyNumberFormat="1" applyFont="1" applyBorder="1" applyAlignment="1">
      <alignment horizontal="center"/>
    </xf>
    <xf numFmtId="3" fontId="2" fillId="7" borderId="5" xfId="0" applyNumberFormat="1" applyFont="1" applyFill="1" applyBorder="1" applyAlignment="1">
      <alignment horizontal="center"/>
    </xf>
    <xf numFmtId="3" fontId="11" fillId="4" borderId="5" xfId="0" applyNumberFormat="1" applyFont="1" applyFill="1" applyBorder="1" applyAlignment="1">
      <alignment horizontal="center"/>
    </xf>
    <xf numFmtId="3" fontId="4" fillId="7" borderId="6" xfId="0" applyNumberFormat="1" applyFont="1" applyFill="1" applyBorder="1" applyAlignment="1">
      <alignment horizontal="center"/>
    </xf>
    <xf numFmtId="0" fontId="37" fillId="0" borderId="0" xfId="0" applyFont="1"/>
    <xf numFmtId="10" fontId="3" fillId="7" borderId="5" xfId="0" applyNumberFormat="1" applyFont="1" applyFill="1" applyBorder="1" applyAlignment="1">
      <alignment horizontal="center"/>
    </xf>
    <xf numFmtId="10" fontId="4" fillId="7" borderId="6" xfId="0" applyNumberFormat="1" applyFont="1" applyFill="1" applyBorder="1" applyAlignment="1">
      <alignment horizontal="center"/>
    </xf>
    <xf numFmtId="181" fontId="11" fillId="4" borderId="5" xfId="0" applyNumberFormat="1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4" fontId="11" fillId="4" borderId="5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78" fontId="2" fillId="7" borderId="5" xfId="0" applyNumberFormat="1" applyFont="1" applyFill="1" applyBorder="1" applyAlignment="1">
      <alignment horizontal="center"/>
    </xf>
    <xf numFmtId="178" fontId="4" fillId="7" borderId="6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right" wrapText="1"/>
    </xf>
    <xf numFmtId="0" fontId="4" fillId="2" borderId="52" xfId="0" applyFont="1" applyFill="1" applyBorder="1" applyAlignment="1">
      <alignment horizontal="right"/>
    </xf>
    <xf numFmtId="178" fontId="2" fillId="7" borderId="8" xfId="0" applyNumberFormat="1" applyFont="1" applyFill="1" applyBorder="1" applyAlignment="1">
      <alignment horizontal="center" vertical="center"/>
    </xf>
    <xf numFmtId="178" fontId="4" fillId="7" borderId="9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4" fillId="5" borderId="5" xfId="0" applyFont="1" applyFill="1" applyBorder="1"/>
    <xf numFmtId="0" fontId="4" fillId="2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center"/>
    </xf>
    <xf numFmtId="3" fontId="2" fillId="7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3" fontId="2" fillId="7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right"/>
    </xf>
    <xf numFmtId="0" fontId="3" fillId="7" borderId="4" xfId="0" applyFont="1" applyFill="1" applyBorder="1" applyAlignment="1">
      <alignment horizontal="center"/>
    </xf>
    <xf numFmtId="10" fontId="11" fillId="4" borderId="5" xfId="0" applyNumberFormat="1" applyFont="1" applyFill="1" applyBorder="1" applyAlignment="1">
      <alignment horizontal="center"/>
    </xf>
    <xf numFmtId="10" fontId="11" fillId="4" borderId="6" xfId="0" applyNumberFormat="1" applyFont="1" applyFill="1" applyBorder="1" applyAlignment="1">
      <alignment horizontal="center"/>
    </xf>
    <xf numFmtId="10" fontId="12" fillId="4" borderId="5" xfId="0" applyNumberFormat="1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10" fontId="12" fillId="4" borderId="6" xfId="0" applyNumberFormat="1" applyFont="1" applyFill="1" applyBorder="1" applyAlignment="1">
      <alignment horizontal="center"/>
    </xf>
    <xf numFmtId="3" fontId="2" fillId="7" borderId="6" xfId="0" applyNumberFormat="1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right"/>
    </xf>
    <xf numFmtId="0" fontId="3" fillId="7" borderId="7" xfId="0" applyFont="1" applyFill="1" applyBorder="1" applyAlignment="1">
      <alignment horizontal="center"/>
    </xf>
    <xf numFmtId="3" fontId="2" fillId="7" borderId="8" xfId="0" applyNumberFormat="1" applyFont="1" applyFill="1" applyBorder="1" applyAlignment="1">
      <alignment horizontal="center"/>
    </xf>
    <xf numFmtId="3" fontId="2" fillId="7" borderId="9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5" xfId="0" applyFont="1" applyFill="1" applyBorder="1"/>
    <xf numFmtId="3" fontId="2" fillId="4" borderId="2" xfId="0" applyNumberFormat="1" applyFont="1" applyFill="1" applyBorder="1" applyAlignment="1">
      <alignment horizontal="right"/>
    </xf>
    <xf numFmtId="10" fontId="3" fillId="0" borderId="0" xfId="0" applyNumberFormat="1" applyFont="1" applyAlignment="1">
      <alignment horizontal="right"/>
    </xf>
    <xf numFmtId="0" fontId="3" fillId="0" borderId="0" xfId="0" applyFont="1"/>
    <xf numFmtId="4" fontId="2" fillId="0" borderId="0" xfId="0" applyNumberFormat="1" applyFont="1" applyAlignment="1">
      <alignment horizontal="right"/>
    </xf>
    <xf numFmtId="3" fontId="2" fillId="4" borderId="5" xfId="0" applyNumberFormat="1" applyFont="1" applyFill="1" applyBorder="1" applyAlignment="1">
      <alignment horizontal="right"/>
    </xf>
    <xf numFmtId="0" fontId="4" fillId="0" borderId="60" xfId="0" applyFont="1" applyBorder="1" applyAlignment="1">
      <alignment horizontal="right"/>
    </xf>
    <xf numFmtId="3" fontId="4" fillId="0" borderId="61" xfId="0" applyNumberFormat="1" applyFont="1" applyBorder="1" applyAlignment="1">
      <alignment horizontal="right"/>
    </xf>
    <xf numFmtId="3" fontId="4" fillId="0" borderId="62" xfId="0" applyNumberFormat="1" applyFont="1" applyBorder="1" applyAlignment="1">
      <alignment horizontal="right"/>
    </xf>
    <xf numFmtId="10" fontId="37" fillId="0" borderId="0" xfId="0" applyNumberFormat="1" applyFont="1" applyAlignment="1">
      <alignment horizontal="right"/>
    </xf>
    <xf numFmtId="10" fontId="3" fillId="11" borderId="5" xfId="0" applyNumberFormat="1" applyFont="1" applyFill="1" applyBorder="1" applyAlignment="1">
      <alignment horizontal="right"/>
    </xf>
    <xf numFmtId="10" fontId="3" fillId="0" borderId="0" xfId="0" applyNumberFormat="1" applyFont="1"/>
    <xf numFmtId="3" fontId="2" fillId="0" borderId="0" xfId="0" applyNumberFormat="1" applyFont="1"/>
    <xf numFmtId="3" fontId="37" fillId="0" borderId="0" xfId="0" applyNumberFormat="1" applyFont="1"/>
    <xf numFmtId="183" fontId="2" fillId="4" borderId="2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4" fillId="7" borderId="3" xfId="0" applyFont="1" applyFill="1" applyBorder="1"/>
    <xf numFmtId="0" fontId="4" fillId="7" borderId="6" xfId="0" applyFont="1" applyFill="1" applyBorder="1"/>
    <xf numFmtId="0" fontId="2" fillId="7" borderId="8" xfId="0" applyFont="1" applyFill="1" applyBorder="1" applyAlignment="1">
      <alignment horizontal="center"/>
    </xf>
    <xf numFmtId="0" fontId="4" fillId="7" borderId="9" xfId="0" applyFont="1" applyFill="1" applyBorder="1"/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/>
    <xf numFmtId="0" fontId="14" fillId="0" borderId="0" xfId="0" applyFont="1"/>
    <xf numFmtId="0" fontId="5" fillId="5" borderId="5" xfId="0" applyFont="1" applyFill="1" applyBorder="1" applyAlignment="1">
      <alignment horizontal="left"/>
    </xf>
    <xf numFmtId="0" fontId="14" fillId="5" borderId="5" xfId="0" applyFont="1" applyFill="1" applyBorder="1"/>
    <xf numFmtId="0" fontId="1" fillId="0" borderId="50" xfId="0" applyFont="1" applyBorder="1" applyAlignment="1">
      <alignment wrapText="1"/>
    </xf>
    <xf numFmtId="184" fontId="6" fillId="0" borderId="50" xfId="0" applyNumberFormat="1" applyFont="1" applyBorder="1"/>
    <xf numFmtId="0" fontId="6" fillId="0" borderId="50" xfId="0" applyFont="1" applyBorder="1"/>
    <xf numFmtId="0" fontId="13" fillId="3" borderId="22" xfId="0" applyFont="1" applyFill="1" applyBorder="1" applyAlignment="1">
      <alignment vertical="center"/>
    </xf>
    <xf numFmtId="0" fontId="9" fillId="0" borderId="23" xfId="0" applyFont="1" applyBorder="1"/>
    <xf numFmtId="0" fontId="9" fillId="0" borderId="24" xfId="0" applyFont="1" applyBorder="1"/>
    <xf numFmtId="0" fontId="6" fillId="3" borderId="22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9" fillId="0" borderId="30" xfId="0" applyFont="1" applyBorder="1"/>
    <xf numFmtId="3" fontId="2" fillId="2" borderId="29" xfId="0" applyNumberFormat="1" applyFont="1" applyFill="1" applyBorder="1" applyAlignment="1">
      <alignment horizontal="center" vertical="center"/>
    </xf>
    <xf numFmtId="3" fontId="11" fillId="6" borderId="32" xfId="0" applyNumberFormat="1" applyFont="1" applyFill="1" applyBorder="1" applyAlignment="1">
      <alignment horizontal="center" vertical="center"/>
    </xf>
    <xf numFmtId="0" fontId="9" fillId="0" borderId="33" xfId="0" applyFont="1" applyBorder="1"/>
    <xf numFmtId="0" fontId="6" fillId="3" borderId="34" xfId="0" applyFont="1" applyFill="1" applyBorder="1" applyAlignment="1">
      <alignment vertical="center"/>
    </xf>
    <xf numFmtId="0" fontId="9" fillId="0" borderId="35" xfId="0" applyFont="1" applyBorder="1"/>
    <xf numFmtId="0" fontId="9" fillId="0" borderId="36" xfId="0" applyFont="1" applyBorder="1"/>
    <xf numFmtId="0" fontId="8" fillId="6" borderId="11" xfId="0" applyFont="1" applyFill="1" applyBorder="1" applyAlignment="1">
      <alignment horizontal="center" vertical="center"/>
    </xf>
    <xf numFmtId="0" fontId="9" fillId="0" borderId="12" xfId="0" applyFont="1" applyBorder="1"/>
    <xf numFmtId="0" fontId="10" fillId="3" borderId="13" xfId="0" applyFont="1" applyFill="1" applyBorder="1" applyAlignment="1">
      <alignment vertical="center"/>
    </xf>
    <xf numFmtId="0" fontId="9" fillId="0" borderId="14" xfId="0" applyFont="1" applyBorder="1"/>
    <xf numFmtId="0" fontId="9" fillId="0" borderId="15" xfId="0" applyFont="1" applyBorder="1"/>
    <xf numFmtId="0" fontId="9" fillId="0" borderId="19" xfId="0" applyFont="1" applyBorder="1"/>
    <xf numFmtId="0" fontId="9" fillId="0" borderId="20" xfId="0" applyFont="1" applyBorder="1"/>
    <xf numFmtId="0" fontId="9" fillId="0" borderId="21" xfId="0" applyFont="1" applyBorder="1"/>
    <xf numFmtId="0" fontId="11" fillId="6" borderId="17" xfId="0" applyFont="1" applyFill="1" applyBorder="1" applyAlignment="1">
      <alignment horizontal="center" vertical="center"/>
    </xf>
    <xf numFmtId="0" fontId="9" fillId="0" borderId="18" xfId="0" applyFont="1" applyBorder="1"/>
    <xf numFmtId="14" fontId="11" fillId="6" borderId="17" xfId="0" applyNumberFormat="1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12" fillId="6" borderId="26" xfId="0" applyFont="1" applyFill="1" applyBorder="1" applyAlignment="1">
      <alignment horizontal="center" vertical="center"/>
    </xf>
    <xf numFmtId="0" fontId="9" fillId="0" borderId="27" xfId="0" applyFont="1" applyBorder="1"/>
    <xf numFmtId="0" fontId="12" fillId="6" borderId="17" xfId="0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0" fillId="0" borderId="0" xfId="0"/>
    <xf numFmtId="0" fontId="20" fillId="0" borderId="0" xfId="0" applyFont="1" applyAlignment="1">
      <alignment vertical="center"/>
    </xf>
    <xf numFmtId="0" fontId="21" fillId="12" borderId="57" xfId="0" applyFont="1" applyFill="1" applyBorder="1" applyAlignment="1">
      <alignment horizontal="center" vertical="center" wrapText="1"/>
    </xf>
    <xf numFmtId="0" fontId="9" fillId="0" borderId="58" xfId="0" applyFont="1" applyBorder="1"/>
    <xf numFmtId="0" fontId="9" fillId="0" borderId="59" xfId="0" applyFont="1" applyBorder="1"/>
    <xf numFmtId="0" fontId="23" fillId="13" borderId="60" xfId="0" applyFont="1" applyFill="1" applyBorder="1" applyAlignment="1">
      <alignment vertical="center"/>
    </xf>
    <xf numFmtId="0" fontId="9" fillId="0" borderId="61" xfId="0" applyFont="1" applyBorder="1"/>
    <xf numFmtId="0" fontId="9" fillId="0" borderId="62" xfId="0" applyFont="1" applyBorder="1"/>
    <xf numFmtId="0" fontId="24" fillId="13" borderId="60" xfId="0" applyFont="1" applyFill="1" applyBorder="1" applyAlignment="1">
      <alignment vertical="center" wrapText="1"/>
    </xf>
    <xf numFmtId="0" fontId="26" fillId="3" borderId="60" xfId="0" applyFont="1" applyFill="1" applyBorder="1" applyAlignment="1">
      <alignment vertical="center" wrapText="1"/>
    </xf>
    <xf numFmtId="0" fontId="28" fillId="14" borderId="60" xfId="0" applyFont="1" applyFill="1" applyBorder="1" applyAlignment="1">
      <alignment vertical="center" wrapText="1"/>
    </xf>
    <xf numFmtId="0" fontId="21" fillId="12" borderId="6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inmarketcap.com/self-reported-dashboard" TargetMode="External"/><Relationship Id="rId13" Type="http://schemas.openxmlformats.org/officeDocument/2006/relationships/hyperlink" Target="https://docs.google.com/spreadsheets/d/1ON2o9fZtdj6aa_uaT7ALtGx1VxFnIDUi8-uS-fWji0o/edit?gid=730221728" TargetMode="External"/><Relationship Id="rId18" Type="http://schemas.openxmlformats.org/officeDocument/2006/relationships/hyperlink" Target="https://coinmarketcap.com/" TargetMode="External"/><Relationship Id="rId26" Type="http://schemas.openxmlformats.org/officeDocument/2006/relationships/hyperlink" Target="https://support.coinmarketcap.com/hc/en-us/requests/new?ticket_form_id=360000493092" TargetMode="External"/><Relationship Id="rId3" Type="http://schemas.openxmlformats.org/officeDocument/2006/relationships/hyperlink" Target="https://support.coinmarketcap.com/hc/en-us/articles/16945563933723-CMC-Priority-CMCP" TargetMode="External"/><Relationship Id="rId21" Type="http://schemas.openxmlformats.org/officeDocument/2006/relationships/hyperlink" Target="https://docs.google.com/spreadsheets/d/1ON2o9fZtdj6aa_uaT7ALtGx1VxFnIDUi8-uS-fWji0o/edit?gid=1300521795" TargetMode="External"/><Relationship Id="rId7" Type="http://schemas.openxmlformats.org/officeDocument/2006/relationships/hyperlink" Target="https://docs.google.com/presentation/d/1p0-EjHE4ELpLZ8kwzP855L5x3uq941oUpCfIYSraa0g/edit?slide=id.g34617c7ed6d_0_6" TargetMode="External"/><Relationship Id="rId12" Type="http://schemas.openxmlformats.org/officeDocument/2006/relationships/hyperlink" Target="https://support.coinmarketcap.com/hc/en-us/requests/new?ticket_form_id=360000553592" TargetMode="External"/><Relationship Id="rId17" Type="http://schemas.openxmlformats.org/officeDocument/2006/relationships/hyperlink" Target="https://docs.google.com/presentation/d/1p0-EjHE4ELpLZ8kwzP855L5x3uq941oUpCfIYSraa0g/edit" TargetMode="External"/><Relationship Id="rId25" Type="http://schemas.openxmlformats.org/officeDocument/2006/relationships/hyperlink" Target="https://docs.google.com/spreadsheets/d/1ON2o9fZtdj6aa_uaT7ALtGx1VxFnIDUi8-uS-fWji0o/edit?gid=730221728" TargetMode="External"/><Relationship Id="rId2" Type="http://schemas.openxmlformats.org/officeDocument/2006/relationships/hyperlink" Target="https://support.coinmarketcap.com/hc/en-us/articles/16945563933723-CMC-Priority-CMCP" TargetMode="External"/><Relationship Id="rId16" Type="http://schemas.openxmlformats.org/officeDocument/2006/relationships/hyperlink" Target="https://support.coinmarketcap.com/hc/en-us/requests/new?ticket_form_id=360000493112" TargetMode="External"/><Relationship Id="rId20" Type="http://schemas.openxmlformats.org/officeDocument/2006/relationships/hyperlink" Target="https://coinmarketcap.com/self-reported-dashboard" TargetMode="External"/><Relationship Id="rId1" Type="http://schemas.openxmlformats.org/officeDocument/2006/relationships/hyperlink" Target="https://support.coinmarketcap.com/hc/en-us/articles/16945563933723-CMC-Priority-CMCP" TargetMode="External"/><Relationship Id="rId6" Type="http://schemas.openxmlformats.org/officeDocument/2006/relationships/hyperlink" Target="https://coinmarketcap.com/" TargetMode="External"/><Relationship Id="rId11" Type="http://schemas.openxmlformats.org/officeDocument/2006/relationships/hyperlink" Target="https://support.coinmarketcap.com/hc/en-us/requests/new?ticket_form_id=360000553592" TargetMode="External"/><Relationship Id="rId24" Type="http://schemas.openxmlformats.org/officeDocument/2006/relationships/hyperlink" Target="https://support.coinmarketcap.com/hc/en-us/requests/new?ticket_form_id=360000553592" TargetMode="External"/><Relationship Id="rId5" Type="http://schemas.openxmlformats.org/officeDocument/2006/relationships/hyperlink" Target="https://docs.google.com/presentation/d/1p0-EjHE4ELpLZ8kwzP855L5x3uq941oUpCfIYSraa0g/edit" TargetMode="External"/><Relationship Id="rId15" Type="http://schemas.openxmlformats.org/officeDocument/2006/relationships/hyperlink" Target="https://support.coinmarketcap.com/hc/en-us/articles/16945563933723-CMC-Priority-CMCP" TargetMode="External"/><Relationship Id="rId23" Type="http://schemas.openxmlformats.org/officeDocument/2006/relationships/hyperlink" Target="https://support.coinmarketcap.com/hc/en-us/requests/new?ticket_form_id=360000553592" TargetMode="External"/><Relationship Id="rId10" Type="http://schemas.openxmlformats.org/officeDocument/2006/relationships/hyperlink" Target="https://docs.google.com/spreadsheets/d/1ON2o9fZtdj6aa_uaT7ALtGx1VxFnIDUi8-uS-fWji0o/edit?gid=1300521795" TargetMode="External"/><Relationship Id="rId19" Type="http://schemas.openxmlformats.org/officeDocument/2006/relationships/hyperlink" Target="https://docs.google.com/presentation/d/1p0-EjHE4ELpLZ8kwzP855L5x3uq941oUpCfIYSraa0g/edit?slide=id.g34617c7ed6d_0_6" TargetMode="External"/><Relationship Id="rId4" Type="http://schemas.openxmlformats.org/officeDocument/2006/relationships/hyperlink" Target="https://support.coinmarketcap.com/hc/en-us/requests/new?ticket_form_id=360000493112" TargetMode="External"/><Relationship Id="rId9" Type="http://schemas.openxmlformats.org/officeDocument/2006/relationships/hyperlink" Target="https://docs.google.com/spreadsheets/d/1ON2o9fZtdj6aa_uaT7ALtGx1VxFnIDUi8-uS-fWji0o/edit?gid=1300521795" TargetMode="External"/><Relationship Id="rId14" Type="http://schemas.openxmlformats.org/officeDocument/2006/relationships/hyperlink" Target="https://support.coinmarketcap.com/hc/en-us/requests/new?ticket_form_id=360000493092" TargetMode="External"/><Relationship Id="rId22" Type="http://schemas.openxmlformats.org/officeDocument/2006/relationships/hyperlink" Target="https://docs.google.com/spreadsheets/d/1ON2o9fZtdj6aa_uaT7ALtGx1VxFnIDUi8-uS-fWji0o/edit?gid=13005217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workbookViewId="0"/>
  </sheetViews>
  <sheetFormatPr baseColWidth="10" defaultColWidth="12.6640625" defaultRowHeight="15" customHeight="1" x14ac:dyDescent="0.15"/>
  <cols>
    <col min="1" max="1" width="12.6640625" customWidth="1"/>
    <col min="2" max="10" width="18.33203125" customWidth="1"/>
    <col min="11" max="11" width="15.33203125" customWidth="1"/>
    <col min="12" max="12" width="17.1640625" customWidth="1"/>
    <col min="13" max="13" width="17.83203125" customWidth="1"/>
  </cols>
  <sheetData>
    <row r="1" spans="1:13" ht="15.75" customHeight="1" x14ac:dyDescent="0.1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5"/>
    </row>
    <row r="2" spans="1:13" ht="15.75" customHeight="1" x14ac:dyDescent="0.15">
      <c r="A2" s="6" t="s">
        <v>3</v>
      </c>
      <c r="B2" s="7">
        <v>1000000000</v>
      </c>
      <c r="C2" s="8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75" customHeight="1" x14ac:dyDescent="0.15">
      <c r="A3" s="9" t="s">
        <v>4</v>
      </c>
      <c r="B3" s="10" t="s">
        <v>5</v>
      </c>
      <c r="C3" s="11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75" customHeight="1" x14ac:dyDescent="0.15">
      <c r="A4" s="1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5.75" customHeight="1" x14ac:dyDescent="0.15">
      <c r="A5" s="12">
        <v>43100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11</v>
      </c>
      <c r="L5" s="4" t="s">
        <v>12</v>
      </c>
      <c r="M5" s="4" t="s">
        <v>13</v>
      </c>
    </row>
    <row r="6" spans="1:13" ht="15.75" customHeight="1" x14ac:dyDescent="0.15">
      <c r="A6" s="13">
        <f t="shared" ref="A6:A64" si="0">EOMONTH(A5,1)</f>
        <v>43131</v>
      </c>
      <c r="B6" s="14"/>
      <c r="C6" s="14"/>
      <c r="D6" s="14"/>
      <c r="E6" s="14"/>
      <c r="F6" s="14"/>
      <c r="G6" s="14"/>
      <c r="H6" s="14"/>
      <c r="I6" s="14"/>
      <c r="J6" s="14"/>
      <c r="K6" s="15">
        <f>SUM(B6:J6)</f>
        <v>0</v>
      </c>
      <c r="L6" s="16">
        <f t="shared" ref="L6:L65" si="1">IFERROR(K6/$B$2,)</f>
        <v>0</v>
      </c>
      <c r="M6" s="5"/>
    </row>
    <row r="7" spans="1:13" ht="15.75" customHeight="1" x14ac:dyDescent="0.15">
      <c r="A7" s="13">
        <f t="shared" si="0"/>
        <v>43159</v>
      </c>
      <c r="B7" s="14"/>
      <c r="C7" s="14"/>
      <c r="D7" s="14"/>
      <c r="E7" s="14"/>
      <c r="F7" s="14"/>
      <c r="G7" s="14"/>
      <c r="H7" s="14"/>
      <c r="I7" s="14"/>
      <c r="J7" s="14"/>
      <c r="K7" s="15">
        <f t="shared" ref="K7:K64" si="2">SUM(B7:J7)+K6</f>
        <v>0</v>
      </c>
      <c r="L7" s="16">
        <f t="shared" si="1"/>
        <v>0</v>
      </c>
      <c r="M7" s="17">
        <f t="shared" ref="M7:M64" si="3">L7-L6</f>
        <v>0</v>
      </c>
    </row>
    <row r="8" spans="1:13" ht="15.75" customHeight="1" x14ac:dyDescent="0.15">
      <c r="A8" s="13">
        <f t="shared" si="0"/>
        <v>43190</v>
      </c>
      <c r="B8" s="14"/>
      <c r="C8" s="14"/>
      <c r="D8" s="14"/>
      <c r="E8" s="14"/>
      <c r="F8" s="14"/>
      <c r="G8" s="14"/>
      <c r="H8" s="14"/>
      <c r="I8" s="14"/>
      <c r="J8" s="14"/>
      <c r="K8" s="15">
        <f t="shared" si="2"/>
        <v>0</v>
      </c>
      <c r="L8" s="16">
        <f t="shared" si="1"/>
        <v>0</v>
      </c>
      <c r="M8" s="17">
        <f t="shared" si="3"/>
        <v>0</v>
      </c>
    </row>
    <row r="9" spans="1:13" ht="15.75" customHeight="1" x14ac:dyDescent="0.15">
      <c r="A9" s="13">
        <f t="shared" si="0"/>
        <v>43220</v>
      </c>
      <c r="B9" s="14"/>
      <c r="C9" s="14"/>
      <c r="D9" s="14"/>
      <c r="E9" s="14"/>
      <c r="F9" s="14"/>
      <c r="G9" s="14"/>
      <c r="H9" s="14"/>
      <c r="I9" s="14"/>
      <c r="J9" s="14"/>
      <c r="K9" s="15">
        <f t="shared" si="2"/>
        <v>0</v>
      </c>
      <c r="L9" s="16">
        <f t="shared" si="1"/>
        <v>0</v>
      </c>
      <c r="M9" s="17">
        <f t="shared" si="3"/>
        <v>0</v>
      </c>
    </row>
    <row r="10" spans="1:13" ht="15.75" customHeight="1" x14ac:dyDescent="0.15">
      <c r="A10" s="13">
        <f t="shared" si="0"/>
        <v>43251</v>
      </c>
      <c r="B10" s="14"/>
      <c r="C10" s="14"/>
      <c r="D10" s="14"/>
      <c r="E10" s="14"/>
      <c r="F10" s="14"/>
      <c r="G10" s="14"/>
      <c r="H10" s="14"/>
      <c r="I10" s="14"/>
      <c r="J10" s="14"/>
      <c r="K10" s="15">
        <f t="shared" si="2"/>
        <v>0</v>
      </c>
      <c r="L10" s="16">
        <f t="shared" si="1"/>
        <v>0</v>
      </c>
      <c r="M10" s="17">
        <f t="shared" si="3"/>
        <v>0</v>
      </c>
    </row>
    <row r="11" spans="1:13" ht="15.75" customHeight="1" x14ac:dyDescent="0.15">
      <c r="A11" s="13">
        <f t="shared" si="0"/>
        <v>43281</v>
      </c>
      <c r="B11" s="14"/>
      <c r="C11" s="14"/>
      <c r="D11" s="14"/>
      <c r="E11" s="14"/>
      <c r="F11" s="14"/>
      <c r="G11" s="14"/>
      <c r="H11" s="14"/>
      <c r="I11" s="14"/>
      <c r="J11" s="14"/>
      <c r="K11" s="15">
        <f t="shared" si="2"/>
        <v>0</v>
      </c>
      <c r="L11" s="16">
        <f t="shared" si="1"/>
        <v>0</v>
      </c>
      <c r="M11" s="17">
        <f t="shared" si="3"/>
        <v>0</v>
      </c>
    </row>
    <row r="12" spans="1:13" ht="15.75" customHeight="1" x14ac:dyDescent="0.15">
      <c r="A12" s="13">
        <f t="shared" si="0"/>
        <v>43312</v>
      </c>
      <c r="B12" s="14"/>
      <c r="C12" s="14"/>
      <c r="D12" s="14"/>
      <c r="E12" s="14"/>
      <c r="F12" s="14"/>
      <c r="G12" s="14"/>
      <c r="H12" s="14"/>
      <c r="I12" s="14"/>
      <c r="J12" s="14"/>
      <c r="K12" s="15">
        <f t="shared" si="2"/>
        <v>0</v>
      </c>
      <c r="L12" s="16">
        <f t="shared" si="1"/>
        <v>0</v>
      </c>
      <c r="M12" s="17">
        <f t="shared" si="3"/>
        <v>0</v>
      </c>
    </row>
    <row r="13" spans="1:13" ht="15.75" customHeight="1" x14ac:dyDescent="0.15">
      <c r="A13" s="13">
        <f t="shared" si="0"/>
        <v>43343</v>
      </c>
      <c r="B13" s="14"/>
      <c r="C13" s="14"/>
      <c r="D13" s="14"/>
      <c r="E13" s="14"/>
      <c r="F13" s="14"/>
      <c r="G13" s="14"/>
      <c r="H13" s="14"/>
      <c r="I13" s="14"/>
      <c r="J13" s="14"/>
      <c r="K13" s="15">
        <f t="shared" si="2"/>
        <v>0</v>
      </c>
      <c r="L13" s="16">
        <f t="shared" si="1"/>
        <v>0</v>
      </c>
      <c r="M13" s="17">
        <f t="shared" si="3"/>
        <v>0</v>
      </c>
    </row>
    <row r="14" spans="1:13" ht="15.75" customHeight="1" x14ac:dyDescent="0.15">
      <c r="A14" s="13">
        <f t="shared" si="0"/>
        <v>43373</v>
      </c>
      <c r="B14" s="14"/>
      <c r="C14" s="14"/>
      <c r="D14" s="14"/>
      <c r="E14" s="14"/>
      <c r="F14" s="14"/>
      <c r="G14" s="14"/>
      <c r="H14" s="14"/>
      <c r="I14" s="14"/>
      <c r="J14" s="14"/>
      <c r="K14" s="15">
        <f t="shared" si="2"/>
        <v>0</v>
      </c>
      <c r="L14" s="16">
        <f t="shared" si="1"/>
        <v>0</v>
      </c>
      <c r="M14" s="17">
        <f t="shared" si="3"/>
        <v>0</v>
      </c>
    </row>
    <row r="15" spans="1:13" ht="15.75" customHeight="1" x14ac:dyDescent="0.15">
      <c r="A15" s="13">
        <f t="shared" si="0"/>
        <v>43404</v>
      </c>
      <c r="B15" s="14"/>
      <c r="C15" s="14"/>
      <c r="D15" s="14"/>
      <c r="E15" s="14"/>
      <c r="F15" s="14"/>
      <c r="G15" s="14"/>
      <c r="H15" s="14"/>
      <c r="I15" s="14"/>
      <c r="J15" s="14"/>
      <c r="K15" s="15">
        <f t="shared" si="2"/>
        <v>0</v>
      </c>
      <c r="L15" s="16">
        <f t="shared" si="1"/>
        <v>0</v>
      </c>
      <c r="M15" s="17">
        <f t="shared" si="3"/>
        <v>0</v>
      </c>
    </row>
    <row r="16" spans="1:13" ht="15.75" customHeight="1" x14ac:dyDescent="0.15">
      <c r="A16" s="13">
        <f t="shared" si="0"/>
        <v>43434</v>
      </c>
      <c r="B16" s="14"/>
      <c r="C16" s="14"/>
      <c r="D16" s="14"/>
      <c r="E16" s="14"/>
      <c r="F16" s="14"/>
      <c r="G16" s="14"/>
      <c r="H16" s="14"/>
      <c r="I16" s="14"/>
      <c r="J16" s="14"/>
      <c r="K16" s="15">
        <f t="shared" si="2"/>
        <v>0</v>
      </c>
      <c r="L16" s="16">
        <f t="shared" si="1"/>
        <v>0</v>
      </c>
      <c r="M16" s="17">
        <f t="shared" si="3"/>
        <v>0</v>
      </c>
    </row>
    <row r="17" spans="1:13" ht="15.75" customHeight="1" x14ac:dyDescent="0.15">
      <c r="A17" s="13">
        <f t="shared" si="0"/>
        <v>43465</v>
      </c>
      <c r="B17" s="14"/>
      <c r="C17" s="14"/>
      <c r="D17" s="14"/>
      <c r="E17" s="14"/>
      <c r="F17" s="14"/>
      <c r="G17" s="14"/>
      <c r="H17" s="14"/>
      <c r="I17" s="14"/>
      <c r="J17" s="14"/>
      <c r="K17" s="15">
        <f t="shared" si="2"/>
        <v>0</v>
      </c>
      <c r="L17" s="16">
        <f t="shared" si="1"/>
        <v>0</v>
      </c>
      <c r="M17" s="17">
        <f t="shared" si="3"/>
        <v>0</v>
      </c>
    </row>
    <row r="18" spans="1:13" ht="15.75" customHeight="1" x14ac:dyDescent="0.15">
      <c r="A18" s="13">
        <f t="shared" si="0"/>
        <v>43496</v>
      </c>
      <c r="B18" s="14"/>
      <c r="C18" s="14"/>
      <c r="D18" s="14"/>
      <c r="E18" s="14"/>
      <c r="F18" s="14"/>
      <c r="G18" s="14"/>
      <c r="H18" s="14"/>
      <c r="I18" s="14"/>
      <c r="J18" s="14"/>
      <c r="K18" s="15">
        <f t="shared" si="2"/>
        <v>0</v>
      </c>
      <c r="L18" s="16">
        <f t="shared" si="1"/>
        <v>0</v>
      </c>
      <c r="M18" s="17">
        <f t="shared" si="3"/>
        <v>0</v>
      </c>
    </row>
    <row r="19" spans="1:13" ht="15.75" customHeight="1" x14ac:dyDescent="0.15">
      <c r="A19" s="13">
        <f t="shared" si="0"/>
        <v>43524</v>
      </c>
      <c r="B19" s="14"/>
      <c r="C19" s="14"/>
      <c r="D19" s="14"/>
      <c r="E19" s="14"/>
      <c r="F19" s="14"/>
      <c r="G19" s="14"/>
      <c r="H19" s="14"/>
      <c r="I19" s="14"/>
      <c r="J19" s="14"/>
      <c r="K19" s="15">
        <f t="shared" si="2"/>
        <v>0</v>
      </c>
      <c r="L19" s="16">
        <f t="shared" si="1"/>
        <v>0</v>
      </c>
      <c r="M19" s="17">
        <f t="shared" si="3"/>
        <v>0</v>
      </c>
    </row>
    <row r="20" spans="1:13" ht="15.75" customHeight="1" x14ac:dyDescent="0.15">
      <c r="A20" s="13">
        <f t="shared" si="0"/>
        <v>43555</v>
      </c>
      <c r="B20" s="14"/>
      <c r="C20" s="14"/>
      <c r="D20" s="14"/>
      <c r="E20" s="14"/>
      <c r="F20" s="14"/>
      <c r="G20" s="14"/>
      <c r="H20" s="14"/>
      <c r="I20" s="14"/>
      <c r="J20" s="14"/>
      <c r="K20" s="15">
        <f t="shared" si="2"/>
        <v>0</v>
      </c>
      <c r="L20" s="16">
        <f t="shared" si="1"/>
        <v>0</v>
      </c>
      <c r="M20" s="17">
        <f t="shared" si="3"/>
        <v>0</v>
      </c>
    </row>
    <row r="21" spans="1:13" ht="15.75" customHeight="1" x14ac:dyDescent="0.15">
      <c r="A21" s="13">
        <f t="shared" si="0"/>
        <v>43585</v>
      </c>
      <c r="B21" s="14"/>
      <c r="C21" s="14"/>
      <c r="D21" s="14"/>
      <c r="E21" s="14"/>
      <c r="F21" s="14"/>
      <c r="G21" s="14"/>
      <c r="H21" s="14"/>
      <c r="I21" s="14"/>
      <c r="J21" s="14"/>
      <c r="K21" s="15">
        <f t="shared" si="2"/>
        <v>0</v>
      </c>
      <c r="L21" s="16">
        <f t="shared" si="1"/>
        <v>0</v>
      </c>
      <c r="M21" s="17">
        <f t="shared" si="3"/>
        <v>0</v>
      </c>
    </row>
    <row r="22" spans="1:13" ht="15.75" customHeight="1" x14ac:dyDescent="0.15">
      <c r="A22" s="13">
        <f t="shared" si="0"/>
        <v>43616</v>
      </c>
      <c r="B22" s="14"/>
      <c r="C22" s="14"/>
      <c r="D22" s="14"/>
      <c r="E22" s="14"/>
      <c r="F22" s="14"/>
      <c r="G22" s="14"/>
      <c r="H22" s="14"/>
      <c r="I22" s="14"/>
      <c r="J22" s="14"/>
      <c r="K22" s="15">
        <f t="shared" si="2"/>
        <v>0</v>
      </c>
      <c r="L22" s="16">
        <f t="shared" si="1"/>
        <v>0</v>
      </c>
      <c r="M22" s="17">
        <f t="shared" si="3"/>
        <v>0</v>
      </c>
    </row>
    <row r="23" spans="1:13" ht="15.75" customHeight="1" x14ac:dyDescent="0.15">
      <c r="A23" s="13">
        <f t="shared" si="0"/>
        <v>43646</v>
      </c>
      <c r="B23" s="14"/>
      <c r="C23" s="14"/>
      <c r="D23" s="14"/>
      <c r="E23" s="14"/>
      <c r="F23" s="14"/>
      <c r="G23" s="14"/>
      <c r="H23" s="14"/>
      <c r="I23" s="14"/>
      <c r="J23" s="14"/>
      <c r="K23" s="15">
        <f t="shared" si="2"/>
        <v>0</v>
      </c>
      <c r="L23" s="16">
        <f t="shared" si="1"/>
        <v>0</v>
      </c>
      <c r="M23" s="17">
        <f t="shared" si="3"/>
        <v>0</v>
      </c>
    </row>
    <row r="24" spans="1:13" ht="15.75" customHeight="1" x14ac:dyDescent="0.15">
      <c r="A24" s="13">
        <f t="shared" si="0"/>
        <v>43677</v>
      </c>
      <c r="B24" s="14"/>
      <c r="C24" s="14"/>
      <c r="D24" s="14"/>
      <c r="E24" s="14"/>
      <c r="F24" s="14"/>
      <c r="G24" s="14"/>
      <c r="H24" s="14"/>
      <c r="I24" s="14"/>
      <c r="J24" s="14"/>
      <c r="K24" s="15">
        <f t="shared" si="2"/>
        <v>0</v>
      </c>
      <c r="L24" s="16">
        <f t="shared" si="1"/>
        <v>0</v>
      </c>
      <c r="M24" s="17">
        <f t="shared" si="3"/>
        <v>0</v>
      </c>
    </row>
    <row r="25" spans="1:13" ht="15.75" customHeight="1" x14ac:dyDescent="0.15">
      <c r="A25" s="13">
        <f t="shared" si="0"/>
        <v>43708</v>
      </c>
      <c r="B25" s="14"/>
      <c r="C25" s="14"/>
      <c r="D25" s="14"/>
      <c r="E25" s="14"/>
      <c r="F25" s="14"/>
      <c r="G25" s="14"/>
      <c r="H25" s="14"/>
      <c r="I25" s="14"/>
      <c r="J25" s="14"/>
      <c r="K25" s="15">
        <f t="shared" si="2"/>
        <v>0</v>
      </c>
      <c r="L25" s="16">
        <f t="shared" si="1"/>
        <v>0</v>
      </c>
      <c r="M25" s="17">
        <f t="shared" si="3"/>
        <v>0</v>
      </c>
    </row>
    <row r="26" spans="1:13" ht="15.75" customHeight="1" x14ac:dyDescent="0.15">
      <c r="A26" s="13">
        <f t="shared" si="0"/>
        <v>43738</v>
      </c>
      <c r="B26" s="14"/>
      <c r="C26" s="14"/>
      <c r="D26" s="14"/>
      <c r="E26" s="14"/>
      <c r="F26" s="14"/>
      <c r="G26" s="14"/>
      <c r="H26" s="14"/>
      <c r="I26" s="14"/>
      <c r="J26" s="14"/>
      <c r="K26" s="15">
        <f t="shared" si="2"/>
        <v>0</v>
      </c>
      <c r="L26" s="16">
        <f t="shared" si="1"/>
        <v>0</v>
      </c>
      <c r="M26" s="17">
        <f t="shared" si="3"/>
        <v>0</v>
      </c>
    </row>
    <row r="27" spans="1:13" ht="15.75" customHeight="1" x14ac:dyDescent="0.15">
      <c r="A27" s="13">
        <f t="shared" si="0"/>
        <v>43769</v>
      </c>
      <c r="B27" s="14"/>
      <c r="C27" s="14"/>
      <c r="D27" s="14"/>
      <c r="E27" s="14"/>
      <c r="F27" s="14"/>
      <c r="G27" s="14"/>
      <c r="H27" s="14"/>
      <c r="I27" s="14"/>
      <c r="J27" s="14"/>
      <c r="K27" s="15">
        <f t="shared" si="2"/>
        <v>0</v>
      </c>
      <c r="L27" s="16">
        <f t="shared" si="1"/>
        <v>0</v>
      </c>
      <c r="M27" s="17">
        <f t="shared" si="3"/>
        <v>0</v>
      </c>
    </row>
    <row r="28" spans="1:13" ht="15.75" customHeight="1" x14ac:dyDescent="0.15">
      <c r="A28" s="13">
        <f t="shared" si="0"/>
        <v>43799</v>
      </c>
      <c r="B28" s="14"/>
      <c r="C28" s="14"/>
      <c r="D28" s="14"/>
      <c r="E28" s="14"/>
      <c r="F28" s="14"/>
      <c r="G28" s="14"/>
      <c r="H28" s="14"/>
      <c r="I28" s="14"/>
      <c r="J28" s="14"/>
      <c r="K28" s="15">
        <f t="shared" si="2"/>
        <v>0</v>
      </c>
      <c r="L28" s="16">
        <f t="shared" si="1"/>
        <v>0</v>
      </c>
      <c r="M28" s="17">
        <f t="shared" si="3"/>
        <v>0</v>
      </c>
    </row>
    <row r="29" spans="1:13" ht="15.75" customHeight="1" x14ac:dyDescent="0.15">
      <c r="A29" s="13">
        <f t="shared" si="0"/>
        <v>43830</v>
      </c>
      <c r="B29" s="14"/>
      <c r="C29" s="14"/>
      <c r="D29" s="14"/>
      <c r="E29" s="14"/>
      <c r="F29" s="14"/>
      <c r="G29" s="14"/>
      <c r="H29" s="14"/>
      <c r="I29" s="14"/>
      <c r="J29" s="14"/>
      <c r="K29" s="15">
        <f t="shared" si="2"/>
        <v>0</v>
      </c>
      <c r="L29" s="16">
        <f t="shared" si="1"/>
        <v>0</v>
      </c>
      <c r="M29" s="17">
        <f t="shared" si="3"/>
        <v>0</v>
      </c>
    </row>
    <row r="30" spans="1:13" ht="15.75" customHeight="1" x14ac:dyDescent="0.15">
      <c r="A30" s="13">
        <f t="shared" si="0"/>
        <v>43861</v>
      </c>
      <c r="B30" s="14"/>
      <c r="C30" s="14"/>
      <c r="D30" s="14"/>
      <c r="E30" s="14"/>
      <c r="F30" s="14"/>
      <c r="G30" s="14"/>
      <c r="H30" s="14"/>
      <c r="I30" s="14"/>
      <c r="J30" s="14"/>
      <c r="K30" s="15">
        <f t="shared" si="2"/>
        <v>0</v>
      </c>
      <c r="L30" s="16">
        <f t="shared" si="1"/>
        <v>0</v>
      </c>
      <c r="M30" s="17">
        <f t="shared" si="3"/>
        <v>0</v>
      </c>
    </row>
    <row r="31" spans="1:13" ht="15.75" customHeight="1" x14ac:dyDescent="0.15">
      <c r="A31" s="13">
        <f t="shared" si="0"/>
        <v>43890</v>
      </c>
      <c r="B31" s="14"/>
      <c r="C31" s="14"/>
      <c r="D31" s="14"/>
      <c r="E31" s="14"/>
      <c r="F31" s="14"/>
      <c r="G31" s="14"/>
      <c r="H31" s="14"/>
      <c r="I31" s="14"/>
      <c r="J31" s="14"/>
      <c r="K31" s="15">
        <f t="shared" si="2"/>
        <v>0</v>
      </c>
      <c r="L31" s="16">
        <f t="shared" si="1"/>
        <v>0</v>
      </c>
      <c r="M31" s="17">
        <f t="shared" si="3"/>
        <v>0</v>
      </c>
    </row>
    <row r="32" spans="1:13" ht="15.75" customHeight="1" x14ac:dyDescent="0.15">
      <c r="A32" s="13">
        <f t="shared" si="0"/>
        <v>43921</v>
      </c>
      <c r="B32" s="14"/>
      <c r="C32" s="14"/>
      <c r="D32" s="14"/>
      <c r="E32" s="14"/>
      <c r="F32" s="14"/>
      <c r="G32" s="14"/>
      <c r="H32" s="14"/>
      <c r="I32" s="14"/>
      <c r="J32" s="14"/>
      <c r="K32" s="15">
        <f t="shared" si="2"/>
        <v>0</v>
      </c>
      <c r="L32" s="16">
        <f t="shared" si="1"/>
        <v>0</v>
      </c>
      <c r="M32" s="17">
        <f t="shared" si="3"/>
        <v>0</v>
      </c>
    </row>
    <row r="33" spans="1:13" ht="15.75" customHeight="1" x14ac:dyDescent="0.15">
      <c r="A33" s="13">
        <f t="shared" si="0"/>
        <v>43951</v>
      </c>
      <c r="B33" s="14"/>
      <c r="C33" s="14"/>
      <c r="D33" s="14"/>
      <c r="E33" s="14"/>
      <c r="F33" s="14"/>
      <c r="G33" s="14"/>
      <c r="H33" s="14"/>
      <c r="I33" s="14"/>
      <c r="J33" s="14"/>
      <c r="K33" s="15">
        <f t="shared" si="2"/>
        <v>0</v>
      </c>
      <c r="L33" s="16">
        <f t="shared" si="1"/>
        <v>0</v>
      </c>
      <c r="M33" s="17">
        <f t="shared" si="3"/>
        <v>0</v>
      </c>
    </row>
    <row r="34" spans="1:13" ht="15.75" customHeight="1" x14ac:dyDescent="0.15">
      <c r="A34" s="13">
        <f t="shared" si="0"/>
        <v>43982</v>
      </c>
      <c r="B34" s="14"/>
      <c r="C34" s="14"/>
      <c r="D34" s="14"/>
      <c r="E34" s="14"/>
      <c r="F34" s="14"/>
      <c r="G34" s="14"/>
      <c r="H34" s="14"/>
      <c r="I34" s="14"/>
      <c r="J34" s="14"/>
      <c r="K34" s="15">
        <f t="shared" si="2"/>
        <v>0</v>
      </c>
      <c r="L34" s="16">
        <f t="shared" si="1"/>
        <v>0</v>
      </c>
      <c r="M34" s="17">
        <f t="shared" si="3"/>
        <v>0</v>
      </c>
    </row>
    <row r="35" spans="1:13" ht="15.75" customHeight="1" x14ac:dyDescent="0.15">
      <c r="A35" s="13">
        <f t="shared" si="0"/>
        <v>44012</v>
      </c>
      <c r="B35" s="14"/>
      <c r="C35" s="14"/>
      <c r="D35" s="14"/>
      <c r="E35" s="14"/>
      <c r="F35" s="14"/>
      <c r="G35" s="14"/>
      <c r="H35" s="14"/>
      <c r="I35" s="14"/>
      <c r="J35" s="14"/>
      <c r="K35" s="15">
        <f t="shared" si="2"/>
        <v>0</v>
      </c>
      <c r="L35" s="16">
        <f t="shared" si="1"/>
        <v>0</v>
      </c>
      <c r="M35" s="17">
        <f t="shared" si="3"/>
        <v>0</v>
      </c>
    </row>
    <row r="36" spans="1:13" ht="15.75" customHeight="1" x14ac:dyDescent="0.15">
      <c r="A36" s="13">
        <f t="shared" si="0"/>
        <v>44043</v>
      </c>
      <c r="B36" s="14"/>
      <c r="C36" s="14"/>
      <c r="D36" s="14"/>
      <c r="E36" s="14"/>
      <c r="F36" s="14"/>
      <c r="G36" s="14"/>
      <c r="H36" s="14"/>
      <c r="I36" s="14"/>
      <c r="J36" s="14"/>
      <c r="K36" s="15">
        <f t="shared" si="2"/>
        <v>0</v>
      </c>
      <c r="L36" s="16">
        <f t="shared" si="1"/>
        <v>0</v>
      </c>
      <c r="M36" s="17">
        <f t="shared" si="3"/>
        <v>0</v>
      </c>
    </row>
    <row r="37" spans="1:13" ht="15.75" customHeight="1" x14ac:dyDescent="0.15">
      <c r="A37" s="13">
        <f t="shared" si="0"/>
        <v>44074</v>
      </c>
      <c r="B37" s="14"/>
      <c r="C37" s="14"/>
      <c r="D37" s="14"/>
      <c r="E37" s="14"/>
      <c r="F37" s="14"/>
      <c r="G37" s="14"/>
      <c r="H37" s="14"/>
      <c r="I37" s="14"/>
      <c r="J37" s="14"/>
      <c r="K37" s="15">
        <f t="shared" si="2"/>
        <v>0</v>
      </c>
      <c r="L37" s="16">
        <f t="shared" si="1"/>
        <v>0</v>
      </c>
      <c r="M37" s="17">
        <f t="shared" si="3"/>
        <v>0</v>
      </c>
    </row>
    <row r="38" spans="1:13" ht="15.75" customHeight="1" x14ac:dyDescent="0.15">
      <c r="A38" s="13">
        <f t="shared" si="0"/>
        <v>44104</v>
      </c>
      <c r="B38" s="14"/>
      <c r="C38" s="14"/>
      <c r="D38" s="14"/>
      <c r="E38" s="14"/>
      <c r="F38" s="14"/>
      <c r="G38" s="14"/>
      <c r="H38" s="14"/>
      <c r="I38" s="14"/>
      <c r="J38" s="14"/>
      <c r="K38" s="15">
        <f t="shared" si="2"/>
        <v>0</v>
      </c>
      <c r="L38" s="16">
        <f t="shared" si="1"/>
        <v>0</v>
      </c>
      <c r="M38" s="17">
        <f t="shared" si="3"/>
        <v>0</v>
      </c>
    </row>
    <row r="39" spans="1:13" ht="15.75" customHeight="1" x14ac:dyDescent="0.15">
      <c r="A39" s="13">
        <f t="shared" si="0"/>
        <v>44135</v>
      </c>
      <c r="B39" s="14"/>
      <c r="C39" s="14"/>
      <c r="D39" s="14"/>
      <c r="E39" s="14"/>
      <c r="F39" s="14"/>
      <c r="G39" s="14"/>
      <c r="H39" s="14"/>
      <c r="I39" s="14"/>
      <c r="J39" s="14"/>
      <c r="K39" s="15">
        <f t="shared" si="2"/>
        <v>0</v>
      </c>
      <c r="L39" s="16">
        <f t="shared" si="1"/>
        <v>0</v>
      </c>
      <c r="M39" s="17">
        <f t="shared" si="3"/>
        <v>0</v>
      </c>
    </row>
    <row r="40" spans="1:13" ht="15.75" customHeight="1" x14ac:dyDescent="0.15">
      <c r="A40" s="13">
        <f t="shared" si="0"/>
        <v>44165</v>
      </c>
      <c r="B40" s="14"/>
      <c r="C40" s="14"/>
      <c r="D40" s="14"/>
      <c r="E40" s="14"/>
      <c r="F40" s="14"/>
      <c r="G40" s="14"/>
      <c r="H40" s="14"/>
      <c r="I40" s="14"/>
      <c r="J40" s="14"/>
      <c r="K40" s="15">
        <f t="shared" si="2"/>
        <v>0</v>
      </c>
      <c r="L40" s="16">
        <f t="shared" si="1"/>
        <v>0</v>
      </c>
      <c r="M40" s="17">
        <f t="shared" si="3"/>
        <v>0</v>
      </c>
    </row>
    <row r="41" spans="1:13" ht="15.75" customHeight="1" x14ac:dyDescent="0.15">
      <c r="A41" s="13">
        <f t="shared" si="0"/>
        <v>44196</v>
      </c>
      <c r="B41" s="14"/>
      <c r="C41" s="14"/>
      <c r="D41" s="14"/>
      <c r="E41" s="14"/>
      <c r="F41" s="14"/>
      <c r="G41" s="14"/>
      <c r="H41" s="14"/>
      <c r="I41" s="14"/>
      <c r="J41" s="14"/>
      <c r="K41" s="15">
        <f t="shared" si="2"/>
        <v>0</v>
      </c>
      <c r="L41" s="16">
        <f t="shared" si="1"/>
        <v>0</v>
      </c>
      <c r="M41" s="17">
        <f t="shared" si="3"/>
        <v>0</v>
      </c>
    </row>
    <row r="42" spans="1:13" ht="15.75" customHeight="1" x14ac:dyDescent="0.15">
      <c r="A42" s="13">
        <f t="shared" si="0"/>
        <v>44227</v>
      </c>
      <c r="B42" s="14"/>
      <c r="C42" s="14"/>
      <c r="D42" s="14"/>
      <c r="E42" s="14"/>
      <c r="F42" s="14"/>
      <c r="G42" s="14"/>
      <c r="H42" s="14"/>
      <c r="I42" s="14"/>
      <c r="J42" s="14"/>
      <c r="K42" s="15">
        <f t="shared" si="2"/>
        <v>0</v>
      </c>
      <c r="L42" s="16">
        <f t="shared" si="1"/>
        <v>0</v>
      </c>
      <c r="M42" s="17">
        <f t="shared" si="3"/>
        <v>0</v>
      </c>
    </row>
    <row r="43" spans="1:13" ht="15.75" customHeight="1" x14ac:dyDescent="0.15">
      <c r="A43" s="13">
        <f t="shared" si="0"/>
        <v>44255</v>
      </c>
      <c r="B43" s="14"/>
      <c r="C43" s="14"/>
      <c r="D43" s="14"/>
      <c r="E43" s="14"/>
      <c r="F43" s="14"/>
      <c r="G43" s="14"/>
      <c r="H43" s="14"/>
      <c r="I43" s="14"/>
      <c r="J43" s="14"/>
      <c r="K43" s="15">
        <f t="shared" si="2"/>
        <v>0</v>
      </c>
      <c r="L43" s="16">
        <f t="shared" si="1"/>
        <v>0</v>
      </c>
      <c r="M43" s="17">
        <f t="shared" si="3"/>
        <v>0</v>
      </c>
    </row>
    <row r="44" spans="1:13" ht="15.75" customHeight="1" x14ac:dyDescent="0.15">
      <c r="A44" s="13">
        <f t="shared" si="0"/>
        <v>44286</v>
      </c>
      <c r="B44" s="14"/>
      <c r="C44" s="14"/>
      <c r="D44" s="14"/>
      <c r="E44" s="14"/>
      <c r="F44" s="14"/>
      <c r="G44" s="14"/>
      <c r="H44" s="14"/>
      <c r="I44" s="14"/>
      <c r="J44" s="14"/>
      <c r="K44" s="15">
        <f t="shared" si="2"/>
        <v>0</v>
      </c>
      <c r="L44" s="16">
        <f t="shared" si="1"/>
        <v>0</v>
      </c>
      <c r="M44" s="17">
        <f t="shared" si="3"/>
        <v>0</v>
      </c>
    </row>
    <row r="45" spans="1:13" ht="15.75" customHeight="1" x14ac:dyDescent="0.15">
      <c r="A45" s="13">
        <f t="shared" si="0"/>
        <v>44316</v>
      </c>
      <c r="B45" s="14"/>
      <c r="C45" s="14"/>
      <c r="D45" s="14"/>
      <c r="E45" s="14"/>
      <c r="F45" s="14"/>
      <c r="G45" s="14"/>
      <c r="H45" s="14"/>
      <c r="I45" s="14"/>
      <c r="J45" s="14"/>
      <c r="K45" s="15">
        <f t="shared" si="2"/>
        <v>0</v>
      </c>
      <c r="L45" s="16">
        <f t="shared" si="1"/>
        <v>0</v>
      </c>
      <c r="M45" s="17">
        <f t="shared" si="3"/>
        <v>0</v>
      </c>
    </row>
    <row r="46" spans="1:13" ht="15.75" customHeight="1" x14ac:dyDescent="0.15">
      <c r="A46" s="13">
        <f t="shared" si="0"/>
        <v>44347</v>
      </c>
      <c r="B46" s="14"/>
      <c r="C46" s="14"/>
      <c r="D46" s="14"/>
      <c r="E46" s="14"/>
      <c r="F46" s="14"/>
      <c r="G46" s="14"/>
      <c r="H46" s="14"/>
      <c r="I46" s="14"/>
      <c r="J46" s="14"/>
      <c r="K46" s="15">
        <f t="shared" si="2"/>
        <v>0</v>
      </c>
      <c r="L46" s="16">
        <f t="shared" si="1"/>
        <v>0</v>
      </c>
      <c r="M46" s="17">
        <f t="shared" si="3"/>
        <v>0</v>
      </c>
    </row>
    <row r="47" spans="1:13" ht="15.75" customHeight="1" x14ac:dyDescent="0.15">
      <c r="A47" s="13">
        <f t="shared" si="0"/>
        <v>44377</v>
      </c>
      <c r="B47" s="14"/>
      <c r="C47" s="14"/>
      <c r="D47" s="14"/>
      <c r="E47" s="14"/>
      <c r="F47" s="14"/>
      <c r="G47" s="14"/>
      <c r="H47" s="14"/>
      <c r="I47" s="14"/>
      <c r="J47" s="14"/>
      <c r="K47" s="15">
        <f t="shared" si="2"/>
        <v>0</v>
      </c>
      <c r="L47" s="16">
        <f t="shared" si="1"/>
        <v>0</v>
      </c>
      <c r="M47" s="17">
        <f t="shared" si="3"/>
        <v>0</v>
      </c>
    </row>
    <row r="48" spans="1:13" ht="15.75" customHeight="1" x14ac:dyDescent="0.15">
      <c r="A48" s="13">
        <f t="shared" si="0"/>
        <v>44408</v>
      </c>
      <c r="B48" s="14"/>
      <c r="C48" s="14"/>
      <c r="D48" s="14"/>
      <c r="E48" s="14"/>
      <c r="F48" s="14"/>
      <c r="G48" s="14"/>
      <c r="H48" s="14"/>
      <c r="I48" s="14"/>
      <c r="J48" s="14"/>
      <c r="K48" s="15">
        <f t="shared" si="2"/>
        <v>0</v>
      </c>
      <c r="L48" s="16">
        <f t="shared" si="1"/>
        <v>0</v>
      </c>
      <c r="M48" s="17">
        <f t="shared" si="3"/>
        <v>0</v>
      </c>
    </row>
    <row r="49" spans="1:13" ht="15.75" customHeight="1" x14ac:dyDescent="0.15">
      <c r="A49" s="13">
        <f t="shared" si="0"/>
        <v>44439</v>
      </c>
      <c r="B49" s="14"/>
      <c r="C49" s="14"/>
      <c r="D49" s="14"/>
      <c r="E49" s="14"/>
      <c r="F49" s="14"/>
      <c r="G49" s="14"/>
      <c r="H49" s="14"/>
      <c r="I49" s="14"/>
      <c r="J49" s="14"/>
      <c r="K49" s="15">
        <f t="shared" si="2"/>
        <v>0</v>
      </c>
      <c r="L49" s="16">
        <f t="shared" si="1"/>
        <v>0</v>
      </c>
      <c r="M49" s="17">
        <f t="shared" si="3"/>
        <v>0</v>
      </c>
    </row>
    <row r="50" spans="1:13" ht="15.75" customHeight="1" x14ac:dyDescent="0.15">
      <c r="A50" s="13">
        <f t="shared" si="0"/>
        <v>44469</v>
      </c>
      <c r="B50" s="14"/>
      <c r="C50" s="14"/>
      <c r="D50" s="14"/>
      <c r="E50" s="14"/>
      <c r="F50" s="14"/>
      <c r="G50" s="14"/>
      <c r="H50" s="14"/>
      <c r="I50" s="14"/>
      <c r="J50" s="14"/>
      <c r="K50" s="15">
        <f t="shared" si="2"/>
        <v>0</v>
      </c>
      <c r="L50" s="16">
        <f t="shared" si="1"/>
        <v>0</v>
      </c>
      <c r="M50" s="17">
        <f t="shared" si="3"/>
        <v>0</v>
      </c>
    </row>
    <row r="51" spans="1:13" ht="15.75" customHeight="1" x14ac:dyDescent="0.15">
      <c r="A51" s="13">
        <f t="shared" si="0"/>
        <v>44500</v>
      </c>
      <c r="B51" s="14"/>
      <c r="C51" s="14"/>
      <c r="D51" s="14"/>
      <c r="E51" s="14"/>
      <c r="F51" s="14"/>
      <c r="G51" s="14"/>
      <c r="H51" s="14"/>
      <c r="I51" s="14"/>
      <c r="J51" s="14"/>
      <c r="K51" s="15">
        <f t="shared" si="2"/>
        <v>0</v>
      </c>
      <c r="L51" s="16">
        <f t="shared" si="1"/>
        <v>0</v>
      </c>
      <c r="M51" s="17">
        <f t="shared" si="3"/>
        <v>0</v>
      </c>
    </row>
    <row r="52" spans="1:13" ht="15.75" customHeight="1" x14ac:dyDescent="0.15">
      <c r="A52" s="13">
        <f t="shared" si="0"/>
        <v>44530</v>
      </c>
      <c r="B52" s="14"/>
      <c r="C52" s="14"/>
      <c r="D52" s="14"/>
      <c r="E52" s="14"/>
      <c r="F52" s="14"/>
      <c r="G52" s="14"/>
      <c r="H52" s="14"/>
      <c r="I52" s="14"/>
      <c r="J52" s="14"/>
      <c r="K52" s="15">
        <f t="shared" si="2"/>
        <v>0</v>
      </c>
      <c r="L52" s="16">
        <f t="shared" si="1"/>
        <v>0</v>
      </c>
      <c r="M52" s="17">
        <f t="shared" si="3"/>
        <v>0</v>
      </c>
    </row>
    <row r="53" spans="1:13" ht="15.75" customHeight="1" x14ac:dyDescent="0.15">
      <c r="A53" s="13">
        <f t="shared" si="0"/>
        <v>44561</v>
      </c>
      <c r="B53" s="14"/>
      <c r="C53" s="14"/>
      <c r="D53" s="14"/>
      <c r="E53" s="14"/>
      <c r="F53" s="14"/>
      <c r="G53" s="14"/>
      <c r="H53" s="14"/>
      <c r="I53" s="14"/>
      <c r="J53" s="14"/>
      <c r="K53" s="15">
        <f t="shared" si="2"/>
        <v>0</v>
      </c>
      <c r="L53" s="16">
        <f t="shared" si="1"/>
        <v>0</v>
      </c>
      <c r="M53" s="17">
        <f t="shared" si="3"/>
        <v>0</v>
      </c>
    </row>
    <row r="54" spans="1:13" ht="15.75" customHeight="1" x14ac:dyDescent="0.15">
      <c r="A54" s="13">
        <f t="shared" si="0"/>
        <v>44592</v>
      </c>
      <c r="B54" s="14"/>
      <c r="C54" s="14"/>
      <c r="D54" s="14"/>
      <c r="E54" s="14"/>
      <c r="F54" s="14"/>
      <c r="G54" s="14"/>
      <c r="H54" s="14"/>
      <c r="I54" s="14"/>
      <c r="J54" s="14"/>
      <c r="K54" s="15">
        <f t="shared" si="2"/>
        <v>0</v>
      </c>
      <c r="L54" s="16">
        <f t="shared" si="1"/>
        <v>0</v>
      </c>
      <c r="M54" s="17">
        <f t="shared" si="3"/>
        <v>0</v>
      </c>
    </row>
    <row r="55" spans="1:13" ht="15.75" customHeight="1" x14ac:dyDescent="0.15">
      <c r="A55" s="13">
        <f t="shared" si="0"/>
        <v>44620</v>
      </c>
      <c r="B55" s="14"/>
      <c r="C55" s="14"/>
      <c r="D55" s="14"/>
      <c r="E55" s="14"/>
      <c r="F55" s="14"/>
      <c r="G55" s="14"/>
      <c r="H55" s="14"/>
      <c r="I55" s="14"/>
      <c r="J55" s="14"/>
      <c r="K55" s="15">
        <f t="shared" si="2"/>
        <v>0</v>
      </c>
      <c r="L55" s="16">
        <f t="shared" si="1"/>
        <v>0</v>
      </c>
      <c r="M55" s="17">
        <f t="shared" si="3"/>
        <v>0</v>
      </c>
    </row>
    <row r="56" spans="1:13" ht="15.75" customHeight="1" x14ac:dyDescent="0.15">
      <c r="A56" s="13">
        <f t="shared" si="0"/>
        <v>44651</v>
      </c>
      <c r="B56" s="14"/>
      <c r="C56" s="14"/>
      <c r="D56" s="14"/>
      <c r="E56" s="14"/>
      <c r="F56" s="14"/>
      <c r="G56" s="14"/>
      <c r="H56" s="14"/>
      <c r="I56" s="14"/>
      <c r="J56" s="14"/>
      <c r="K56" s="15">
        <f t="shared" si="2"/>
        <v>0</v>
      </c>
      <c r="L56" s="16">
        <f t="shared" si="1"/>
        <v>0</v>
      </c>
      <c r="M56" s="17">
        <f t="shared" si="3"/>
        <v>0</v>
      </c>
    </row>
    <row r="57" spans="1:13" ht="15.75" customHeight="1" x14ac:dyDescent="0.15">
      <c r="A57" s="13">
        <f t="shared" si="0"/>
        <v>44681</v>
      </c>
      <c r="B57" s="14"/>
      <c r="C57" s="14"/>
      <c r="D57" s="14"/>
      <c r="E57" s="14"/>
      <c r="F57" s="14"/>
      <c r="G57" s="14"/>
      <c r="H57" s="14"/>
      <c r="I57" s="14"/>
      <c r="J57" s="14"/>
      <c r="K57" s="15">
        <f t="shared" si="2"/>
        <v>0</v>
      </c>
      <c r="L57" s="16">
        <f t="shared" si="1"/>
        <v>0</v>
      </c>
      <c r="M57" s="17">
        <f t="shared" si="3"/>
        <v>0</v>
      </c>
    </row>
    <row r="58" spans="1:13" ht="15.75" customHeight="1" x14ac:dyDescent="0.15">
      <c r="A58" s="13">
        <f t="shared" si="0"/>
        <v>44712</v>
      </c>
      <c r="B58" s="14"/>
      <c r="C58" s="14"/>
      <c r="D58" s="14"/>
      <c r="E58" s="14"/>
      <c r="F58" s="14"/>
      <c r="G58" s="14"/>
      <c r="H58" s="14"/>
      <c r="I58" s="14"/>
      <c r="J58" s="14"/>
      <c r="K58" s="15">
        <f t="shared" si="2"/>
        <v>0</v>
      </c>
      <c r="L58" s="16">
        <f t="shared" si="1"/>
        <v>0</v>
      </c>
      <c r="M58" s="17">
        <f t="shared" si="3"/>
        <v>0</v>
      </c>
    </row>
    <row r="59" spans="1:13" ht="15.75" customHeight="1" x14ac:dyDescent="0.15">
      <c r="A59" s="13">
        <f t="shared" si="0"/>
        <v>44742</v>
      </c>
      <c r="B59" s="14"/>
      <c r="C59" s="14"/>
      <c r="D59" s="14"/>
      <c r="E59" s="14"/>
      <c r="F59" s="14"/>
      <c r="G59" s="14"/>
      <c r="H59" s="14"/>
      <c r="I59" s="14"/>
      <c r="J59" s="14"/>
      <c r="K59" s="15">
        <f t="shared" si="2"/>
        <v>0</v>
      </c>
      <c r="L59" s="16">
        <f t="shared" si="1"/>
        <v>0</v>
      </c>
      <c r="M59" s="17">
        <f t="shared" si="3"/>
        <v>0</v>
      </c>
    </row>
    <row r="60" spans="1:13" ht="15.75" customHeight="1" x14ac:dyDescent="0.15">
      <c r="A60" s="13">
        <f t="shared" si="0"/>
        <v>44773</v>
      </c>
      <c r="B60" s="14"/>
      <c r="C60" s="14"/>
      <c r="D60" s="14"/>
      <c r="E60" s="14"/>
      <c r="F60" s="14"/>
      <c r="G60" s="14"/>
      <c r="H60" s="14"/>
      <c r="I60" s="14"/>
      <c r="J60" s="14"/>
      <c r="K60" s="15">
        <f t="shared" si="2"/>
        <v>0</v>
      </c>
      <c r="L60" s="16">
        <f t="shared" si="1"/>
        <v>0</v>
      </c>
      <c r="M60" s="17">
        <f t="shared" si="3"/>
        <v>0</v>
      </c>
    </row>
    <row r="61" spans="1:13" ht="15.75" customHeight="1" x14ac:dyDescent="0.15">
      <c r="A61" s="13">
        <f t="shared" si="0"/>
        <v>44804</v>
      </c>
      <c r="B61" s="14"/>
      <c r="C61" s="14"/>
      <c r="D61" s="14"/>
      <c r="E61" s="14"/>
      <c r="F61" s="14"/>
      <c r="G61" s="14"/>
      <c r="H61" s="14"/>
      <c r="I61" s="14"/>
      <c r="J61" s="14"/>
      <c r="K61" s="15">
        <f t="shared" si="2"/>
        <v>0</v>
      </c>
      <c r="L61" s="16">
        <f t="shared" si="1"/>
        <v>0</v>
      </c>
      <c r="M61" s="17">
        <f t="shared" si="3"/>
        <v>0</v>
      </c>
    </row>
    <row r="62" spans="1:13" ht="15.75" customHeight="1" x14ac:dyDescent="0.15">
      <c r="A62" s="13">
        <f t="shared" si="0"/>
        <v>44834</v>
      </c>
      <c r="B62" s="14"/>
      <c r="C62" s="14"/>
      <c r="D62" s="14"/>
      <c r="E62" s="14"/>
      <c r="F62" s="14"/>
      <c r="G62" s="14"/>
      <c r="H62" s="14"/>
      <c r="I62" s="14"/>
      <c r="J62" s="14"/>
      <c r="K62" s="15">
        <f t="shared" si="2"/>
        <v>0</v>
      </c>
      <c r="L62" s="16">
        <f t="shared" si="1"/>
        <v>0</v>
      </c>
      <c r="M62" s="17">
        <f t="shared" si="3"/>
        <v>0</v>
      </c>
    </row>
    <row r="63" spans="1:13" ht="15.75" customHeight="1" x14ac:dyDescent="0.15">
      <c r="A63" s="13">
        <f t="shared" si="0"/>
        <v>44865</v>
      </c>
      <c r="B63" s="14"/>
      <c r="C63" s="14"/>
      <c r="D63" s="14"/>
      <c r="E63" s="14"/>
      <c r="F63" s="14"/>
      <c r="G63" s="14"/>
      <c r="H63" s="14"/>
      <c r="I63" s="14"/>
      <c r="J63" s="14"/>
      <c r="K63" s="15">
        <f t="shared" si="2"/>
        <v>0</v>
      </c>
      <c r="L63" s="16">
        <f t="shared" si="1"/>
        <v>0</v>
      </c>
      <c r="M63" s="17">
        <f t="shared" si="3"/>
        <v>0</v>
      </c>
    </row>
    <row r="64" spans="1:13" ht="15.75" customHeight="1" x14ac:dyDescent="0.15">
      <c r="A64" s="13">
        <f t="shared" si="0"/>
        <v>44895</v>
      </c>
      <c r="B64" s="14"/>
      <c r="C64" s="14"/>
      <c r="D64" s="14"/>
      <c r="E64" s="14"/>
      <c r="F64" s="14"/>
      <c r="G64" s="14"/>
      <c r="H64" s="14"/>
      <c r="I64" s="14"/>
      <c r="J64" s="14"/>
      <c r="K64" s="15">
        <f t="shared" si="2"/>
        <v>0</v>
      </c>
      <c r="L64" s="16">
        <f t="shared" si="1"/>
        <v>0</v>
      </c>
      <c r="M64" s="17">
        <f t="shared" si="3"/>
        <v>0</v>
      </c>
    </row>
    <row r="65" spans="1:13" ht="15.75" customHeight="1" x14ac:dyDescent="0.15">
      <c r="A65" s="4" t="s">
        <v>14</v>
      </c>
      <c r="B65" s="18">
        <f t="shared" ref="B65:J65" si="4">SUM(B6:B64)</f>
        <v>0</v>
      </c>
      <c r="C65" s="18">
        <f t="shared" si="4"/>
        <v>0</v>
      </c>
      <c r="D65" s="18">
        <f t="shared" si="4"/>
        <v>0</v>
      </c>
      <c r="E65" s="18">
        <f t="shared" si="4"/>
        <v>0</v>
      </c>
      <c r="F65" s="18">
        <f t="shared" si="4"/>
        <v>0</v>
      </c>
      <c r="G65" s="18">
        <f t="shared" si="4"/>
        <v>0</v>
      </c>
      <c r="H65" s="18">
        <f t="shared" si="4"/>
        <v>0</v>
      </c>
      <c r="I65" s="18">
        <f t="shared" si="4"/>
        <v>0</v>
      </c>
      <c r="J65" s="18">
        <f t="shared" si="4"/>
        <v>0</v>
      </c>
      <c r="K65" s="15">
        <f>SUM(B65:J65)</f>
        <v>0</v>
      </c>
      <c r="L65" s="16">
        <f t="shared" si="1"/>
        <v>0</v>
      </c>
      <c r="M65" s="5"/>
    </row>
    <row r="66" spans="1:13" ht="15.75" customHeight="1" x14ac:dyDescent="0.15">
      <c r="B66" s="16">
        <f t="shared" ref="B66:K66" si="5">IFERROR(B65/$B$2,)</f>
        <v>0</v>
      </c>
      <c r="C66" s="16">
        <f t="shared" si="5"/>
        <v>0</v>
      </c>
      <c r="D66" s="16">
        <f t="shared" si="5"/>
        <v>0</v>
      </c>
      <c r="E66" s="16">
        <f t="shared" si="5"/>
        <v>0</v>
      </c>
      <c r="F66" s="16">
        <f t="shared" si="5"/>
        <v>0</v>
      </c>
      <c r="G66" s="16">
        <f t="shared" si="5"/>
        <v>0</v>
      </c>
      <c r="H66" s="16">
        <f t="shared" si="5"/>
        <v>0</v>
      </c>
      <c r="I66" s="16">
        <f t="shared" si="5"/>
        <v>0</v>
      </c>
      <c r="J66" s="16">
        <f t="shared" si="5"/>
        <v>0</v>
      </c>
      <c r="K66" s="16">
        <f t="shared" si="5"/>
        <v>0</v>
      </c>
    </row>
    <row r="67" spans="1:13" ht="15.75" customHeight="1" x14ac:dyDescent="0.15"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3" ht="15.75" customHeight="1" x14ac:dyDescent="0.15"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3" ht="15.75" customHeight="1" x14ac:dyDescent="0.15"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3" ht="15.75" customHeight="1" x14ac:dyDescent="0.15"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spans="1:13" ht="15.75" customHeight="1" x14ac:dyDescent="0.15"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3" ht="15.75" customHeight="1" x14ac:dyDescent="0.15"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spans="1:13" ht="15.75" customHeight="1" x14ac:dyDescent="0.15"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spans="1:13" ht="15.75" customHeight="1" x14ac:dyDescent="0.15"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 spans="1:13" ht="15.75" customHeight="1" x14ac:dyDescent="0.15"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3" ht="15.75" customHeight="1" x14ac:dyDescent="0.15"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spans="1:13" ht="15.75" customHeight="1" x14ac:dyDescent="0.15"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3" ht="15.75" customHeight="1" x14ac:dyDescent="0.15"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spans="1:13" ht="15.75" customHeight="1" x14ac:dyDescent="0.15"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3" ht="15.75" customHeight="1" x14ac:dyDescent="0.15"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spans="2:11" ht="15.75" customHeight="1" x14ac:dyDescent="0.15"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spans="2:11" ht="15.75" customHeight="1" x14ac:dyDescent="0.15"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spans="2:11" ht="15.75" customHeight="1" x14ac:dyDescent="0.15"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spans="2:11" ht="15.75" customHeight="1" x14ac:dyDescent="0.15"/>
    <row r="85" spans="2:11" ht="15.75" customHeight="1" x14ac:dyDescent="0.15"/>
    <row r="86" spans="2:11" ht="15.75" customHeight="1" x14ac:dyDescent="0.15"/>
    <row r="87" spans="2:11" ht="15.75" customHeight="1" x14ac:dyDescent="0.15"/>
    <row r="88" spans="2:11" ht="15.75" customHeight="1" x14ac:dyDescent="0.15"/>
    <row r="89" spans="2:11" ht="15.75" customHeight="1" x14ac:dyDescent="0.15"/>
    <row r="90" spans="2:11" ht="15.75" customHeight="1" x14ac:dyDescent="0.15"/>
    <row r="91" spans="2:11" ht="15.75" customHeight="1" x14ac:dyDescent="0.15"/>
    <row r="92" spans="2:11" ht="15.75" customHeight="1" x14ac:dyDescent="0.15"/>
    <row r="93" spans="2:11" ht="15.75" customHeight="1" x14ac:dyDescent="0.15"/>
    <row r="94" spans="2:11" ht="15.75" customHeight="1" x14ac:dyDescent="0.15"/>
    <row r="95" spans="2:11" ht="15.75" customHeight="1" x14ac:dyDescent="0.15"/>
    <row r="96" spans="2:11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46" type="noConversion"/>
  <pageMargins left="0.70078740157480324" right="0.70078740157480324" top="0.75196850393700787" bottom="0.75196850393700787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K1000"/>
  <sheetViews>
    <sheetView tabSelected="1" workbookViewId="0">
      <pane xSplit="2" topLeftCell="C1" activePane="topRight" state="frozen"/>
      <selection pane="topRight" activeCell="C5" sqref="C5:D5"/>
    </sheetView>
  </sheetViews>
  <sheetFormatPr baseColWidth="10" defaultColWidth="12.6640625" defaultRowHeight="15" customHeight="1" x14ac:dyDescent="0.15"/>
  <cols>
    <col min="1" max="1" width="9.5" customWidth="1"/>
    <col min="2" max="2" width="23.6640625" customWidth="1"/>
    <col min="3" max="3" width="12.6640625" customWidth="1"/>
    <col min="4" max="4" width="11.6640625" customWidth="1"/>
    <col min="5" max="6" width="10.1640625" customWidth="1"/>
    <col min="7" max="8" width="11.1640625" customWidth="1"/>
    <col min="9" max="11" width="10.1640625" customWidth="1"/>
    <col min="12" max="12" width="16.6640625" customWidth="1"/>
    <col min="13" max="13" width="16.33203125" customWidth="1"/>
    <col min="14" max="14" width="23.33203125" customWidth="1"/>
    <col min="15" max="17" width="16.33203125" customWidth="1"/>
    <col min="18" max="18" width="14" customWidth="1"/>
    <col min="20" max="20" width="13.6640625" customWidth="1"/>
    <col min="21" max="21" width="45.1640625" customWidth="1"/>
    <col min="22" max="22" width="112.1640625" customWidth="1"/>
  </cols>
  <sheetData>
    <row r="1" spans="1:37" ht="9.75" customHeight="1" x14ac:dyDescent="0.15">
      <c r="A1" s="20"/>
      <c r="B1" s="20"/>
      <c r="C1" s="21"/>
      <c r="D1" s="22"/>
      <c r="E1" s="22"/>
      <c r="F1" s="23"/>
      <c r="G1" s="24"/>
      <c r="H1" s="24"/>
      <c r="I1" s="25"/>
      <c r="J1" s="25"/>
      <c r="K1" s="23"/>
      <c r="L1" s="23"/>
      <c r="M1" s="26"/>
      <c r="N1" s="23"/>
      <c r="O1" s="23"/>
      <c r="P1" s="27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37" ht="13" x14ac:dyDescent="0.15">
      <c r="A2" s="28"/>
      <c r="B2" s="29" t="s">
        <v>0</v>
      </c>
      <c r="C2" s="311"/>
      <c r="D2" s="312"/>
      <c r="F2" s="313" t="s">
        <v>15</v>
      </c>
      <c r="G2" s="314"/>
      <c r="H2" s="314"/>
      <c r="I2" s="314"/>
      <c r="J2" s="314"/>
      <c r="K2" s="314"/>
      <c r="L2" s="314"/>
      <c r="M2" s="314"/>
      <c r="N2" s="31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3" x14ac:dyDescent="0.15">
      <c r="A3" s="30"/>
      <c r="B3" s="31" t="s">
        <v>16</v>
      </c>
      <c r="C3" s="319"/>
      <c r="D3" s="320"/>
      <c r="F3" s="316"/>
      <c r="G3" s="317"/>
      <c r="H3" s="317"/>
      <c r="I3" s="317"/>
      <c r="J3" s="317"/>
      <c r="K3" s="317"/>
      <c r="L3" s="317"/>
      <c r="M3" s="317"/>
      <c r="N3" s="318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3" x14ac:dyDescent="0.15">
      <c r="A4" s="30"/>
      <c r="B4" s="31" t="s">
        <v>17</v>
      </c>
      <c r="C4" s="321">
        <v>45658</v>
      </c>
      <c r="D4" s="320"/>
      <c r="F4" s="322" t="s">
        <v>18</v>
      </c>
      <c r="G4" s="300"/>
      <c r="H4" s="300"/>
      <c r="I4" s="300"/>
      <c r="J4" s="300"/>
      <c r="K4" s="300"/>
      <c r="L4" s="300"/>
      <c r="M4" s="300"/>
      <c r="N4" s="301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 spans="1:37" ht="13" x14ac:dyDescent="0.15">
      <c r="A5" s="30"/>
      <c r="B5" s="32" t="s">
        <v>19</v>
      </c>
      <c r="C5" s="323" t="s">
        <v>258</v>
      </c>
      <c r="D5" s="324"/>
      <c r="F5" s="299" t="s">
        <v>21</v>
      </c>
      <c r="G5" s="300"/>
      <c r="H5" s="300"/>
      <c r="I5" s="300"/>
      <c r="J5" s="300"/>
      <c r="K5" s="300"/>
      <c r="L5" s="300"/>
      <c r="M5" s="300"/>
      <c r="N5" s="301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1:37" ht="13" x14ac:dyDescent="0.15">
      <c r="A6" s="28"/>
      <c r="B6" s="33" t="s">
        <v>22</v>
      </c>
      <c r="C6" s="325" t="s">
        <v>20</v>
      </c>
      <c r="D6" s="320"/>
      <c r="F6" s="302" t="s">
        <v>23</v>
      </c>
      <c r="G6" s="300"/>
      <c r="H6" s="300"/>
      <c r="I6" s="300"/>
      <c r="J6" s="300"/>
      <c r="K6" s="300"/>
      <c r="L6" s="300"/>
      <c r="M6" s="300"/>
      <c r="N6" s="301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spans="1:37" ht="13" x14ac:dyDescent="0.15">
      <c r="A7" s="34"/>
      <c r="B7" s="35"/>
      <c r="C7" s="303"/>
      <c r="D7" s="304"/>
      <c r="F7" s="302" t="s">
        <v>24</v>
      </c>
      <c r="G7" s="300"/>
      <c r="H7" s="300"/>
      <c r="I7" s="300"/>
      <c r="J7" s="300"/>
      <c r="K7" s="300"/>
      <c r="L7" s="300"/>
      <c r="M7" s="300"/>
      <c r="N7" s="301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spans="1:37" ht="13" x14ac:dyDescent="0.15">
      <c r="A8" s="28"/>
      <c r="B8" s="36" t="s">
        <v>25</v>
      </c>
      <c r="C8" s="305">
        <f>$M$17</f>
        <v>1000000000</v>
      </c>
      <c r="D8" s="304"/>
      <c r="F8" s="302" t="s">
        <v>26</v>
      </c>
      <c r="G8" s="300"/>
      <c r="H8" s="300"/>
      <c r="I8" s="300"/>
      <c r="J8" s="300"/>
      <c r="K8" s="300"/>
      <c r="L8" s="300"/>
      <c r="M8" s="300"/>
      <c r="N8" s="301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7" ht="13" x14ac:dyDescent="0.15">
      <c r="A9" s="28"/>
      <c r="B9" s="36" t="s">
        <v>27</v>
      </c>
      <c r="C9" s="305">
        <f>C8+L17</f>
        <v>1500000000</v>
      </c>
      <c r="D9" s="304"/>
      <c r="F9" s="302" t="s">
        <v>28</v>
      </c>
      <c r="G9" s="300"/>
      <c r="H9" s="300"/>
      <c r="I9" s="300"/>
      <c r="J9" s="300"/>
      <c r="K9" s="300"/>
      <c r="L9" s="300"/>
      <c r="M9" s="300"/>
      <c r="N9" s="301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spans="1:37" ht="13" x14ac:dyDescent="0.15">
      <c r="A10" s="28"/>
      <c r="B10" s="37" t="s">
        <v>29</v>
      </c>
      <c r="C10" s="306" t="s">
        <v>30</v>
      </c>
      <c r="D10" s="307"/>
      <c r="F10" s="308" t="s">
        <v>31</v>
      </c>
      <c r="G10" s="309"/>
      <c r="H10" s="309"/>
      <c r="I10" s="309"/>
      <c r="J10" s="309"/>
      <c r="K10" s="309"/>
      <c r="L10" s="309"/>
      <c r="M10" s="309"/>
      <c r="N10" s="310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spans="1:37" ht="13" x14ac:dyDescent="0.15">
      <c r="A11" s="38"/>
      <c r="B11" s="38"/>
      <c r="C11" s="39"/>
      <c r="D11" s="22"/>
      <c r="E11" s="22"/>
      <c r="F11" s="22"/>
      <c r="G11" s="40"/>
      <c r="H11" s="22"/>
      <c r="I11" s="22"/>
      <c r="J11" s="22"/>
      <c r="K11" s="22"/>
      <c r="L11" s="22"/>
      <c r="M11" s="41"/>
      <c r="N11" s="23"/>
      <c r="O11" s="23"/>
      <c r="P11" s="23"/>
      <c r="Q11" s="25"/>
      <c r="R11" s="25"/>
      <c r="S11" s="25"/>
      <c r="T11" s="25"/>
      <c r="U11" s="42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spans="1:37" ht="28" x14ac:dyDescent="0.15">
      <c r="A12" s="28"/>
      <c r="B12" s="43" t="s">
        <v>32</v>
      </c>
      <c r="C12" s="44" t="s">
        <v>6</v>
      </c>
      <c r="D12" s="45" t="s">
        <v>33</v>
      </c>
      <c r="E12" s="45" t="s">
        <v>34</v>
      </c>
      <c r="F12" s="45" t="s">
        <v>35</v>
      </c>
      <c r="G12" s="45" t="s">
        <v>36</v>
      </c>
      <c r="H12" s="45" t="s">
        <v>37</v>
      </c>
      <c r="I12" s="45" t="s">
        <v>38</v>
      </c>
      <c r="J12" s="45" t="s">
        <v>8</v>
      </c>
      <c r="K12" s="45" t="s">
        <v>39</v>
      </c>
      <c r="L12" s="46" t="s">
        <v>40</v>
      </c>
      <c r="M12" s="47" t="s">
        <v>41</v>
      </c>
      <c r="N12" s="48" t="s">
        <v>42</v>
      </c>
      <c r="O12" s="23"/>
      <c r="P12" s="23"/>
      <c r="Q12" s="25"/>
      <c r="R12" s="25"/>
      <c r="S12" s="25"/>
      <c r="T12" s="25"/>
      <c r="U12" s="42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ht="13" x14ac:dyDescent="0.15">
      <c r="A13" s="28"/>
      <c r="B13" s="49" t="s">
        <v>43</v>
      </c>
      <c r="C13" s="50"/>
      <c r="D13" s="51"/>
      <c r="E13" s="51"/>
      <c r="F13" s="51"/>
      <c r="G13" s="52" t="s">
        <v>44</v>
      </c>
      <c r="H13" s="52" t="s">
        <v>44</v>
      </c>
      <c r="I13" s="52" t="s">
        <v>44</v>
      </c>
      <c r="J13" s="52" t="s">
        <v>44</v>
      </c>
      <c r="K13" s="52" t="s">
        <v>44</v>
      </c>
      <c r="L13" s="53" t="s">
        <v>44</v>
      </c>
      <c r="M13" s="54"/>
      <c r="N13" s="55"/>
      <c r="O13" s="23"/>
      <c r="P13" s="23"/>
      <c r="Q13" s="25"/>
      <c r="R13" s="25"/>
      <c r="S13" s="25"/>
      <c r="T13" s="25"/>
      <c r="U13" s="56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ht="13" x14ac:dyDescent="0.15">
      <c r="A14" s="28"/>
      <c r="B14" s="49" t="s">
        <v>45</v>
      </c>
      <c r="C14" s="57" t="s">
        <v>46</v>
      </c>
      <c r="D14" s="58" t="s">
        <v>46</v>
      </c>
      <c r="E14" s="58" t="s">
        <v>46</v>
      </c>
      <c r="F14" s="58" t="s">
        <v>46</v>
      </c>
      <c r="G14" s="58" t="s">
        <v>46</v>
      </c>
      <c r="H14" s="58" t="s">
        <v>46</v>
      </c>
      <c r="I14" s="58" t="s">
        <v>46</v>
      </c>
      <c r="J14" s="58" t="s">
        <v>46</v>
      </c>
      <c r="K14" s="58" t="s">
        <v>46</v>
      </c>
      <c r="L14" s="59" t="s">
        <v>46</v>
      </c>
      <c r="M14" s="60"/>
      <c r="N14" s="61"/>
      <c r="O14" s="23"/>
      <c r="P14" s="23"/>
      <c r="Q14" s="25"/>
      <c r="R14" s="25"/>
      <c r="S14" s="25"/>
      <c r="T14" s="25"/>
      <c r="U14" s="62"/>
      <c r="V14" s="63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7" ht="13" x14ac:dyDescent="0.15">
      <c r="A15" s="28"/>
      <c r="B15" s="49" t="s">
        <v>47</v>
      </c>
      <c r="C15" s="52" t="s">
        <v>44</v>
      </c>
      <c r="D15" s="52" t="s">
        <v>44</v>
      </c>
      <c r="E15" s="52" t="s">
        <v>44</v>
      </c>
      <c r="F15" s="52" t="s">
        <v>44</v>
      </c>
      <c r="G15" s="52" t="s">
        <v>44</v>
      </c>
      <c r="H15" s="52" t="s">
        <v>44</v>
      </c>
      <c r="I15" s="52" t="s">
        <v>44</v>
      </c>
      <c r="J15" s="52" t="s">
        <v>44</v>
      </c>
      <c r="K15" s="52" t="s">
        <v>44</v>
      </c>
      <c r="L15" s="53" t="s">
        <v>44</v>
      </c>
      <c r="M15" s="60"/>
      <c r="N15" s="61"/>
      <c r="O15" s="23"/>
      <c r="P15" s="23"/>
      <c r="Q15" s="25"/>
      <c r="R15" s="25"/>
      <c r="S15" s="25"/>
      <c r="T15" s="25"/>
      <c r="U15" s="42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ht="13" x14ac:dyDescent="0.15">
      <c r="A16" s="28"/>
      <c r="B16" s="49" t="s">
        <v>48</v>
      </c>
      <c r="C16" s="52" t="s">
        <v>49</v>
      </c>
      <c r="D16" s="52" t="s">
        <v>49</v>
      </c>
      <c r="E16" s="52" t="s">
        <v>49</v>
      </c>
      <c r="F16" s="52" t="s">
        <v>49</v>
      </c>
      <c r="G16" s="52" t="s">
        <v>49</v>
      </c>
      <c r="H16" s="52" t="s">
        <v>49</v>
      </c>
      <c r="I16" s="52" t="s">
        <v>49</v>
      </c>
      <c r="J16" s="52" t="s">
        <v>49</v>
      </c>
      <c r="K16" s="52" t="s">
        <v>49</v>
      </c>
      <c r="L16" s="52" t="s">
        <v>49</v>
      </c>
      <c r="M16" s="60"/>
      <c r="N16" s="61"/>
      <c r="O16" s="23"/>
      <c r="P16" s="23"/>
      <c r="Q16" s="25"/>
      <c r="R16" s="25"/>
      <c r="S16" s="25"/>
      <c r="T16" s="25"/>
      <c r="U16" s="42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spans="1:37" ht="13" x14ac:dyDescent="0.15">
      <c r="A17" s="28"/>
      <c r="B17" s="49" t="s">
        <v>50</v>
      </c>
      <c r="C17" s="57">
        <v>100000000</v>
      </c>
      <c r="D17" s="58">
        <v>100000000</v>
      </c>
      <c r="E17" s="58">
        <v>100000000</v>
      </c>
      <c r="F17" s="58">
        <v>100000000</v>
      </c>
      <c r="G17" s="58">
        <v>100000000</v>
      </c>
      <c r="H17" s="58">
        <v>100000000</v>
      </c>
      <c r="I17" s="58">
        <v>100000000</v>
      </c>
      <c r="J17" s="58">
        <v>100000000</v>
      </c>
      <c r="K17" s="58">
        <v>200000000</v>
      </c>
      <c r="L17" s="59">
        <v>500000000</v>
      </c>
      <c r="M17" s="64">
        <f>SUM(C17:K17)</f>
        <v>1000000000</v>
      </c>
      <c r="N17" s="65">
        <f>M17+L17</f>
        <v>1500000000</v>
      </c>
      <c r="O17" s="23"/>
      <c r="P17" s="23"/>
      <c r="Q17" s="25"/>
      <c r="R17" s="25"/>
      <c r="S17" s="25"/>
      <c r="T17" s="25"/>
      <c r="U17" s="42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spans="1:37" ht="13" x14ac:dyDescent="0.15">
      <c r="A18" s="28"/>
      <c r="B18" s="49" t="s">
        <v>51</v>
      </c>
      <c r="C18" s="66">
        <f t="shared" ref="C18:L18" si="0">SUM(C27:C112)</f>
        <v>0</v>
      </c>
      <c r="D18" s="67">
        <f t="shared" si="0"/>
        <v>0</v>
      </c>
      <c r="E18" s="67">
        <f t="shared" si="0"/>
        <v>0</v>
      </c>
      <c r="F18" s="67">
        <f t="shared" si="0"/>
        <v>0</v>
      </c>
      <c r="G18" s="67">
        <f t="shared" si="0"/>
        <v>0</v>
      </c>
      <c r="H18" s="67">
        <f t="shared" si="0"/>
        <v>0</v>
      </c>
      <c r="I18" s="67">
        <f t="shared" si="0"/>
        <v>0</v>
      </c>
      <c r="J18" s="67">
        <f t="shared" si="0"/>
        <v>0</v>
      </c>
      <c r="K18" s="67">
        <f t="shared" si="0"/>
        <v>0</v>
      </c>
      <c r="L18" s="67">
        <f t="shared" si="0"/>
        <v>0</v>
      </c>
      <c r="M18" s="68"/>
      <c r="N18" s="61"/>
      <c r="O18" s="23"/>
      <c r="P18" s="23"/>
      <c r="Q18" s="25"/>
      <c r="R18" s="25"/>
      <c r="S18" s="25"/>
      <c r="T18" s="25"/>
      <c r="U18" s="42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37" ht="13" x14ac:dyDescent="0.15">
      <c r="A19" s="28"/>
      <c r="B19" s="69" t="s">
        <v>52</v>
      </c>
      <c r="C19" s="70">
        <f t="shared" ref="C19:K19" si="1">IFERROR(C17/$M$17,"")</f>
        <v>0.1</v>
      </c>
      <c r="D19" s="71">
        <f t="shared" si="1"/>
        <v>0.1</v>
      </c>
      <c r="E19" s="71">
        <f t="shared" si="1"/>
        <v>0.1</v>
      </c>
      <c r="F19" s="71">
        <f t="shared" si="1"/>
        <v>0.1</v>
      </c>
      <c r="G19" s="71">
        <f t="shared" si="1"/>
        <v>0.1</v>
      </c>
      <c r="H19" s="71">
        <f t="shared" si="1"/>
        <v>0.1</v>
      </c>
      <c r="I19" s="71">
        <f t="shared" si="1"/>
        <v>0.1</v>
      </c>
      <c r="J19" s="71">
        <f t="shared" si="1"/>
        <v>0.1</v>
      </c>
      <c r="K19" s="71">
        <f t="shared" si="1"/>
        <v>0.2</v>
      </c>
      <c r="L19" s="72"/>
      <c r="M19" s="73">
        <f>SUM(C19:K19)</f>
        <v>1</v>
      </c>
      <c r="N19" s="55"/>
      <c r="O19" s="23"/>
      <c r="P19" s="23"/>
      <c r="Q19" s="25"/>
      <c r="R19" s="25"/>
      <c r="S19" s="25"/>
      <c r="T19" s="25"/>
      <c r="U19" s="56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37" ht="13" x14ac:dyDescent="0.15">
      <c r="A20" s="28"/>
      <c r="B20" s="74" t="s">
        <v>53</v>
      </c>
      <c r="C20" s="75">
        <f t="shared" ref="C20:L20" si="2">IFERROR(C17/$N$17,"")</f>
        <v>6.6666666666666666E-2</v>
      </c>
      <c r="D20" s="76">
        <f t="shared" si="2"/>
        <v>6.6666666666666666E-2</v>
      </c>
      <c r="E20" s="76">
        <f t="shared" si="2"/>
        <v>6.6666666666666666E-2</v>
      </c>
      <c r="F20" s="76">
        <f t="shared" si="2"/>
        <v>6.6666666666666666E-2</v>
      </c>
      <c r="G20" s="76">
        <f t="shared" si="2"/>
        <v>6.6666666666666666E-2</v>
      </c>
      <c r="H20" s="76">
        <f t="shared" si="2"/>
        <v>6.6666666666666666E-2</v>
      </c>
      <c r="I20" s="76">
        <f t="shared" si="2"/>
        <v>6.6666666666666666E-2</v>
      </c>
      <c r="J20" s="76">
        <f t="shared" si="2"/>
        <v>6.6666666666666666E-2</v>
      </c>
      <c r="K20" s="76">
        <f t="shared" si="2"/>
        <v>0.13333333333333333</v>
      </c>
      <c r="L20" s="77">
        <f t="shared" si="2"/>
        <v>0.33333333333333331</v>
      </c>
      <c r="M20" s="78"/>
      <c r="N20" s="79">
        <f>SUM(C20:L20)</f>
        <v>1</v>
      </c>
      <c r="O20" s="23"/>
      <c r="P20" s="23"/>
      <c r="Q20" s="25"/>
      <c r="R20" s="25"/>
      <c r="S20" s="25"/>
      <c r="T20" s="25"/>
      <c r="U20" s="56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spans="1:37" ht="15.75" customHeight="1" x14ac:dyDescent="0.15">
      <c r="A21" s="28"/>
      <c r="B21" s="49" t="s">
        <v>54</v>
      </c>
      <c r="C21" s="80">
        <v>0.01</v>
      </c>
      <c r="D21" s="81">
        <v>0.01</v>
      </c>
      <c r="E21" s="81">
        <v>0.01</v>
      </c>
      <c r="F21" s="81">
        <v>0.01</v>
      </c>
      <c r="G21" s="82"/>
      <c r="H21" s="82"/>
      <c r="I21" s="83"/>
      <c r="J21" s="83"/>
      <c r="K21" s="83"/>
      <c r="L21" s="84"/>
      <c r="M21" s="85"/>
      <c r="N21" s="55"/>
      <c r="O21" s="23"/>
      <c r="P21" s="23"/>
      <c r="Q21" s="25"/>
      <c r="R21" s="25"/>
      <c r="S21" s="25"/>
      <c r="T21" s="25"/>
      <c r="U21" s="56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spans="1:37" ht="15.75" customHeight="1" x14ac:dyDescent="0.15">
      <c r="A22" s="28"/>
      <c r="B22" s="49" t="s">
        <v>55</v>
      </c>
      <c r="C22" s="86">
        <f t="shared" ref="C22:F22" si="3">IFERROR(C21*C17,"-")</f>
        <v>1000000</v>
      </c>
      <c r="D22" s="87">
        <f t="shared" si="3"/>
        <v>1000000</v>
      </c>
      <c r="E22" s="87">
        <f t="shared" si="3"/>
        <v>1000000</v>
      </c>
      <c r="F22" s="87">
        <f t="shared" si="3"/>
        <v>1000000</v>
      </c>
      <c r="G22" s="87"/>
      <c r="H22" s="87"/>
      <c r="I22" s="87"/>
      <c r="J22" s="87"/>
      <c r="K22" s="87"/>
      <c r="L22" s="88"/>
      <c r="M22" s="89">
        <f>SUM(C22:K22)</f>
        <v>4000000</v>
      </c>
      <c r="N22" s="90"/>
      <c r="O22" s="23"/>
      <c r="P22" s="23"/>
      <c r="Q22" s="25"/>
      <c r="R22" s="25"/>
      <c r="S22" s="25"/>
      <c r="T22" s="25"/>
      <c r="U22" s="91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37" ht="15.75" customHeight="1" x14ac:dyDescent="0.15">
      <c r="A23" s="92"/>
      <c r="B23" s="93" t="s">
        <v>56</v>
      </c>
      <c r="C23" s="94">
        <f t="shared" ref="C23:F23" si="4">IFERROR(C22/C19,"")</f>
        <v>10000000</v>
      </c>
      <c r="D23" s="95">
        <f t="shared" si="4"/>
        <v>10000000</v>
      </c>
      <c r="E23" s="95">
        <f t="shared" si="4"/>
        <v>10000000</v>
      </c>
      <c r="F23" s="95">
        <f t="shared" si="4"/>
        <v>10000000</v>
      </c>
      <c r="G23" s="95"/>
      <c r="H23" s="95"/>
      <c r="I23" s="95"/>
      <c r="J23" s="95"/>
      <c r="K23" s="95"/>
      <c r="L23" s="96" t="str">
        <f>IFERROR(L22/L19,"")</f>
        <v/>
      </c>
      <c r="M23" s="97"/>
      <c r="N23" s="98"/>
      <c r="O23" s="23"/>
      <c r="P23" s="23"/>
      <c r="Q23" s="25"/>
      <c r="R23" s="25"/>
      <c r="S23" s="25"/>
      <c r="T23" s="25"/>
      <c r="U23" s="91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spans="1:37" ht="15.75" customHeight="1" x14ac:dyDescent="0.15">
      <c r="A24" s="99"/>
      <c r="B24" s="99"/>
      <c r="C24" s="100"/>
      <c r="D24" s="100"/>
      <c r="E24" s="100"/>
      <c r="F24" s="100"/>
      <c r="G24" s="100"/>
      <c r="H24" s="100"/>
      <c r="I24" s="100"/>
      <c r="J24" s="100"/>
      <c r="K24" s="100"/>
      <c r="L24" s="23"/>
      <c r="M24" s="26"/>
      <c r="N24" s="101"/>
      <c r="O24" s="23"/>
      <c r="P24" s="23"/>
      <c r="Q24" s="25"/>
      <c r="R24" s="25"/>
      <c r="S24" s="25"/>
      <c r="T24" s="25"/>
      <c r="U24" s="91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spans="1:37" ht="15.75" customHeight="1" x14ac:dyDescent="0.15">
      <c r="A25" s="102"/>
      <c r="B25" s="102" t="s">
        <v>57</v>
      </c>
      <c r="C25" s="103" t="s">
        <v>58</v>
      </c>
      <c r="D25" s="25"/>
      <c r="E25" s="100"/>
      <c r="F25" s="100"/>
      <c r="G25" s="100"/>
      <c r="H25" s="100"/>
      <c r="I25" s="100"/>
      <c r="J25" s="100"/>
      <c r="K25" s="100"/>
      <c r="L25" s="104"/>
      <c r="M25" s="26"/>
      <c r="N25" s="23"/>
      <c r="O25" s="23"/>
      <c r="P25" s="23"/>
      <c r="Q25" s="25"/>
      <c r="R25" s="25"/>
      <c r="S25" s="25"/>
      <c r="T25" s="25"/>
      <c r="U25" s="91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37" ht="15.75" customHeight="1" x14ac:dyDescent="0.15">
      <c r="A26" s="38"/>
      <c r="B26" s="38"/>
      <c r="C26" s="105" t="str">
        <f t="shared" ref="C26:L26" si="5">C12</f>
        <v>Public Sale</v>
      </c>
      <c r="D26" s="106" t="str">
        <f t="shared" si="5"/>
        <v>SAFT 0</v>
      </c>
      <c r="E26" s="106" t="str">
        <f t="shared" si="5"/>
        <v>SAFT 1</v>
      </c>
      <c r="F26" s="106" t="str">
        <f t="shared" si="5"/>
        <v>SAFT 2</v>
      </c>
      <c r="G26" s="106" t="str">
        <f t="shared" si="5"/>
        <v>Protocol 
Development</v>
      </c>
      <c r="H26" s="106" t="str">
        <f t="shared" si="5"/>
        <v>Ecosystem 
/ Community</v>
      </c>
      <c r="I26" s="106" t="str">
        <f t="shared" si="5"/>
        <v>Foundation 
/ Treasury</v>
      </c>
      <c r="J26" s="106" t="str">
        <f t="shared" si="5"/>
        <v>Team</v>
      </c>
      <c r="K26" s="106" t="str">
        <f t="shared" si="5"/>
        <v>[TBU]</v>
      </c>
      <c r="L26" s="107" t="str">
        <f t="shared" si="5"/>
        <v>Estimated Validator 
/ Emission Rewards</v>
      </c>
      <c r="M26" s="108" t="s">
        <v>59</v>
      </c>
      <c r="N26" s="109" t="s">
        <v>60</v>
      </c>
      <c r="O26" s="108" t="s">
        <v>61</v>
      </c>
      <c r="P26" s="110" t="s">
        <v>62</v>
      </c>
      <c r="Q26" s="111" t="s">
        <v>3</v>
      </c>
      <c r="R26" s="25"/>
      <c r="S26" s="25"/>
      <c r="T26" s="9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spans="1:37" ht="15.75" customHeight="1" x14ac:dyDescent="0.15">
      <c r="A27" s="112">
        <f>C4</f>
        <v>45658</v>
      </c>
      <c r="B27" s="113" t="str">
        <f>"T+"&amp;(R27*1)&amp;"M (Genesis)"</f>
        <v>T+0M (Genesis)</v>
      </c>
      <c r="C27" s="114"/>
      <c r="D27" s="115"/>
      <c r="E27" s="115"/>
      <c r="F27" s="115"/>
      <c r="G27" s="115"/>
      <c r="H27" s="115"/>
      <c r="I27" s="115"/>
      <c r="J27" s="115"/>
      <c r="K27" s="115"/>
      <c r="L27" s="116"/>
      <c r="M27" s="117">
        <f>SUM(C27:L27)</f>
        <v>0</v>
      </c>
      <c r="N27" s="118">
        <f t="shared" ref="N27:N112" si="6">M27/(Q27)</f>
        <v>0</v>
      </c>
      <c r="O27" s="119">
        <v>0</v>
      </c>
      <c r="P27" s="120">
        <v>0</v>
      </c>
      <c r="Q27" s="121">
        <f>C8+L27</f>
        <v>1000000000</v>
      </c>
      <c r="R27" s="122">
        <v>0</v>
      </c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1:37" ht="15.75" customHeight="1" x14ac:dyDescent="0.15">
      <c r="A28" s="112">
        <f t="shared" ref="A28:A90" si="7">EOMONTH(A27,1)</f>
        <v>45716</v>
      </c>
      <c r="B28" s="113" t="str">
        <f t="shared" ref="B28:B111" si="8">"T+"&amp;(R28*1)&amp;"M"</f>
        <v>T+1M</v>
      </c>
      <c r="C28" s="114"/>
      <c r="D28" s="115"/>
      <c r="E28" s="115"/>
      <c r="F28" s="115"/>
      <c r="G28" s="115"/>
      <c r="H28" s="115"/>
      <c r="I28" s="115"/>
      <c r="J28" s="115"/>
      <c r="K28" s="115"/>
      <c r="L28" s="116"/>
      <c r="M28" s="117">
        <f t="shared" ref="M28:M91" si="9">SUM(C28:L28)+M27</f>
        <v>0</v>
      </c>
      <c r="N28" s="118">
        <f t="shared" si="6"/>
        <v>0</v>
      </c>
      <c r="O28" s="117">
        <f t="shared" ref="O28:P28" si="10">M28-M27</f>
        <v>0</v>
      </c>
      <c r="P28" s="123">
        <f t="shared" si="10"/>
        <v>0</v>
      </c>
      <c r="Q28" s="121">
        <f t="shared" ref="Q28:Q112" si="11">Q27+L28</f>
        <v>1000000000</v>
      </c>
      <c r="R28" s="122">
        <f t="shared" ref="R28:R112" si="12">R27+1</f>
        <v>1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spans="1:37" ht="15.75" customHeight="1" x14ac:dyDescent="0.15">
      <c r="A29" s="112">
        <f t="shared" si="7"/>
        <v>45747</v>
      </c>
      <c r="B29" s="113" t="str">
        <f t="shared" si="8"/>
        <v>T+2M</v>
      </c>
      <c r="C29" s="114"/>
      <c r="D29" s="115"/>
      <c r="E29" s="115"/>
      <c r="F29" s="115"/>
      <c r="G29" s="115"/>
      <c r="H29" s="115"/>
      <c r="I29" s="115"/>
      <c r="J29" s="115"/>
      <c r="K29" s="115"/>
      <c r="L29" s="116"/>
      <c r="M29" s="117">
        <f t="shared" si="9"/>
        <v>0</v>
      </c>
      <c r="N29" s="118">
        <f t="shared" si="6"/>
        <v>0</v>
      </c>
      <c r="O29" s="117">
        <f t="shared" ref="O29:P29" si="13">M29-M28</f>
        <v>0</v>
      </c>
      <c r="P29" s="123">
        <f t="shared" si="13"/>
        <v>0</v>
      </c>
      <c r="Q29" s="121">
        <f t="shared" si="11"/>
        <v>1000000000</v>
      </c>
      <c r="R29" s="122">
        <f t="shared" si="12"/>
        <v>2</v>
      </c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spans="1:37" ht="15.75" customHeight="1" x14ac:dyDescent="0.15">
      <c r="A30" s="112">
        <f t="shared" si="7"/>
        <v>45777</v>
      </c>
      <c r="B30" s="113" t="str">
        <f t="shared" si="8"/>
        <v>T+3M</v>
      </c>
      <c r="C30" s="114"/>
      <c r="D30" s="115"/>
      <c r="E30" s="115"/>
      <c r="F30" s="115"/>
      <c r="G30" s="115"/>
      <c r="H30" s="115"/>
      <c r="I30" s="115"/>
      <c r="J30" s="115"/>
      <c r="K30" s="115"/>
      <c r="L30" s="116"/>
      <c r="M30" s="117">
        <f t="shared" si="9"/>
        <v>0</v>
      </c>
      <c r="N30" s="118">
        <f t="shared" si="6"/>
        <v>0</v>
      </c>
      <c r="O30" s="117">
        <f t="shared" ref="O30:P30" si="14">M30-M29</f>
        <v>0</v>
      </c>
      <c r="P30" s="123">
        <f t="shared" si="14"/>
        <v>0</v>
      </c>
      <c r="Q30" s="121">
        <f t="shared" si="11"/>
        <v>1000000000</v>
      </c>
      <c r="R30" s="122">
        <f t="shared" si="12"/>
        <v>3</v>
      </c>
      <c r="S30" s="25"/>
      <c r="T30" s="56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spans="1:37" ht="15.75" customHeight="1" x14ac:dyDescent="0.15">
      <c r="A31" s="112">
        <f t="shared" si="7"/>
        <v>45808</v>
      </c>
      <c r="B31" s="113" t="str">
        <f t="shared" si="8"/>
        <v>T+4M</v>
      </c>
      <c r="C31" s="114"/>
      <c r="D31" s="124"/>
      <c r="E31" s="124"/>
      <c r="F31" s="115"/>
      <c r="G31" s="115"/>
      <c r="H31" s="115"/>
      <c r="I31" s="115"/>
      <c r="J31" s="115"/>
      <c r="K31" s="115"/>
      <c r="L31" s="116"/>
      <c r="M31" s="117">
        <f t="shared" si="9"/>
        <v>0</v>
      </c>
      <c r="N31" s="118">
        <f t="shared" si="6"/>
        <v>0</v>
      </c>
      <c r="O31" s="117">
        <f t="shared" ref="O31:P31" si="15">M31-M30</f>
        <v>0</v>
      </c>
      <c r="P31" s="123">
        <f t="shared" si="15"/>
        <v>0</v>
      </c>
      <c r="Q31" s="121">
        <f t="shared" si="11"/>
        <v>1000000000</v>
      </c>
      <c r="R31" s="122">
        <f t="shared" si="12"/>
        <v>4</v>
      </c>
      <c r="S31" s="25"/>
      <c r="T31" s="9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spans="1:37" ht="15.75" customHeight="1" x14ac:dyDescent="0.15">
      <c r="A32" s="112">
        <f t="shared" si="7"/>
        <v>45838</v>
      </c>
      <c r="B32" s="113" t="str">
        <f t="shared" si="8"/>
        <v>T+5M</v>
      </c>
      <c r="C32" s="114"/>
      <c r="D32" s="115"/>
      <c r="E32" s="115"/>
      <c r="F32" s="125"/>
      <c r="G32" s="115"/>
      <c r="H32" s="115"/>
      <c r="I32" s="115"/>
      <c r="J32" s="125"/>
      <c r="K32" s="125"/>
      <c r="L32" s="116"/>
      <c r="M32" s="117">
        <f t="shared" si="9"/>
        <v>0</v>
      </c>
      <c r="N32" s="118">
        <f t="shared" si="6"/>
        <v>0</v>
      </c>
      <c r="O32" s="117">
        <f t="shared" ref="O32:P32" si="16">M32-M31</f>
        <v>0</v>
      </c>
      <c r="P32" s="123">
        <f t="shared" si="16"/>
        <v>0</v>
      </c>
      <c r="Q32" s="121">
        <f t="shared" si="11"/>
        <v>1000000000</v>
      </c>
      <c r="R32" s="122">
        <f t="shared" si="12"/>
        <v>5</v>
      </c>
      <c r="S32" s="25"/>
      <c r="T32" s="91" t="s">
        <v>63</v>
      </c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spans="1:37" ht="15.75" customHeight="1" x14ac:dyDescent="0.15">
      <c r="A33" s="112">
        <f t="shared" si="7"/>
        <v>45869</v>
      </c>
      <c r="B33" s="113" t="str">
        <f t="shared" si="8"/>
        <v>T+6M</v>
      </c>
      <c r="C33" s="114"/>
      <c r="D33" s="115"/>
      <c r="E33" s="115"/>
      <c r="F33" s="125"/>
      <c r="G33" s="115"/>
      <c r="H33" s="115"/>
      <c r="I33" s="115"/>
      <c r="J33" s="125"/>
      <c r="K33" s="125"/>
      <c r="L33" s="116"/>
      <c r="M33" s="117">
        <f t="shared" si="9"/>
        <v>0</v>
      </c>
      <c r="N33" s="118">
        <f t="shared" si="6"/>
        <v>0</v>
      </c>
      <c r="O33" s="117">
        <f t="shared" ref="O33:P33" si="17">M33-M32</f>
        <v>0</v>
      </c>
      <c r="P33" s="123">
        <f t="shared" si="17"/>
        <v>0</v>
      </c>
      <c r="Q33" s="121">
        <f t="shared" si="11"/>
        <v>1000000000</v>
      </c>
      <c r="R33" s="122">
        <f t="shared" si="12"/>
        <v>6</v>
      </c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ht="15.75" customHeight="1" x14ac:dyDescent="0.15">
      <c r="A34" s="112">
        <f t="shared" si="7"/>
        <v>45900</v>
      </c>
      <c r="B34" s="113" t="str">
        <f t="shared" si="8"/>
        <v>T+7M</v>
      </c>
      <c r="C34" s="114"/>
      <c r="D34" s="126"/>
      <c r="E34" s="115"/>
      <c r="F34" s="115"/>
      <c r="G34" s="115"/>
      <c r="H34" s="115"/>
      <c r="I34" s="115"/>
      <c r="J34" s="125"/>
      <c r="K34" s="125"/>
      <c r="L34" s="116"/>
      <c r="M34" s="117">
        <f t="shared" si="9"/>
        <v>0</v>
      </c>
      <c r="N34" s="118">
        <f t="shared" si="6"/>
        <v>0</v>
      </c>
      <c r="O34" s="117">
        <f t="shared" ref="O34:P34" si="18">M34-M33</f>
        <v>0</v>
      </c>
      <c r="P34" s="123">
        <f t="shared" si="18"/>
        <v>0</v>
      </c>
      <c r="Q34" s="121">
        <f t="shared" si="11"/>
        <v>1000000000</v>
      </c>
      <c r="R34" s="122">
        <f t="shared" si="12"/>
        <v>7</v>
      </c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75" customHeight="1" x14ac:dyDescent="0.15">
      <c r="A35" s="112">
        <f t="shared" si="7"/>
        <v>45930</v>
      </c>
      <c r="B35" s="113" t="str">
        <f t="shared" si="8"/>
        <v>T+8M</v>
      </c>
      <c r="C35" s="114"/>
      <c r="D35" s="115"/>
      <c r="E35" s="115"/>
      <c r="F35" s="115"/>
      <c r="G35" s="115"/>
      <c r="H35" s="115"/>
      <c r="I35" s="115"/>
      <c r="J35" s="115"/>
      <c r="K35" s="115"/>
      <c r="L35" s="116"/>
      <c r="M35" s="117">
        <f t="shared" si="9"/>
        <v>0</v>
      </c>
      <c r="N35" s="118">
        <f t="shared" si="6"/>
        <v>0</v>
      </c>
      <c r="O35" s="117">
        <f t="shared" ref="O35:P35" si="19">M35-M34</f>
        <v>0</v>
      </c>
      <c r="P35" s="123">
        <f t="shared" si="19"/>
        <v>0</v>
      </c>
      <c r="Q35" s="121">
        <f t="shared" si="11"/>
        <v>1000000000</v>
      </c>
      <c r="R35" s="122">
        <f t="shared" si="12"/>
        <v>8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75" customHeight="1" x14ac:dyDescent="0.15">
      <c r="A36" s="112">
        <f t="shared" si="7"/>
        <v>45961</v>
      </c>
      <c r="B36" s="113" t="str">
        <f t="shared" si="8"/>
        <v>T+9M</v>
      </c>
      <c r="C36" s="114"/>
      <c r="D36" s="115"/>
      <c r="E36" s="115"/>
      <c r="F36" s="115"/>
      <c r="G36" s="115"/>
      <c r="H36" s="115"/>
      <c r="I36" s="115"/>
      <c r="J36" s="115"/>
      <c r="K36" s="115"/>
      <c r="L36" s="116"/>
      <c r="M36" s="117">
        <f t="shared" si="9"/>
        <v>0</v>
      </c>
      <c r="N36" s="118">
        <f t="shared" si="6"/>
        <v>0</v>
      </c>
      <c r="O36" s="117">
        <f t="shared" ref="O36:P36" si="20">M36-M35</f>
        <v>0</v>
      </c>
      <c r="P36" s="123">
        <f t="shared" si="20"/>
        <v>0</v>
      </c>
      <c r="Q36" s="121">
        <f t="shared" si="11"/>
        <v>1000000000</v>
      </c>
      <c r="R36" s="122">
        <f t="shared" si="12"/>
        <v>9</v>
      </c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75" customHeight="1" x14ac:dyDescent="0.15">
      <c r="A37" s="112">
        <f t="shared" si="7"/>
        <v>45991</v>
      </c>
      <c r="B37" s="113" t="str">
        <f t="shared" si="8"/>
        <v>T+10M</v>
      </c>
      <c r="C37" s="114"/>
      <c r="D37" s="115"/>
      <c r="E37" s="115"/>
      <c r="F37" s="115"/>
      <c r="G37" s="115"/>
      <c r="H37" s="115"/>
      <c r="I37" s="115"/>
      <c r="J37" s="115"/>
      <c r="K37" s="115"/>
      <c r="L37" s="116"/>
      <c r="M37" s="117">
        <f t="shared" si="9"/>
        <v>0</v>
      </c>
      <c r="N37" s="118">
        <f t="shared" si="6"/>
        <v>0</v>
      </c>
      <c r="O37" s="117">
        <f t="shared" ref="O37:P37" si="21">M37-M36</f>
        <v>0</v>
      </c>
      <c r="P37" s="123">
        <f t="shared" si="21"/>
        <v>0</v>
      </c>
      <c r="Q37" s="121">
        <f t="shared" si="11"/>
        <v>1000000000</v>
      </c>
      <c r="R37" s="122">
        <f t="shared" si="12"/>
        <v>10</v>
      </c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75" customHeight="1" x14ac:dyDescent="0.15">
      <c r="A38" s="112">
        <f t="shared" si="7"/>
        <v>46022</v>
      </c>
      <c r="B38" s="113" t="str">
        <f t="shared" si="8"/>
        <v>T+11M</v>
      </c>
      <c r="C38" s="114"/>
      <c r="D38" s="115"/>
      <c r="E38" s="115"/>
      <c r="F38" s="115"/>
      <c r="G38" s="115"/>
      <c r="H38" s="115"/>
      <c r="I38" s="115"/>
      <c r="J38" s="115"/>
      <c r="K38" s="115"/>
      <c r="L38" s="116"/>
      <c r="M38" s="117">
        <f t="shared" si="9"/>
        <v>0</v>
      </c>
      <c r="N38" s="118">
        <f t="shared" si="6"/>
        <v>0</v>
      </c>
      <c r="O38" s="117">
        <f t="shared" ref="O38:P38" si="22">M38-M37</f>
        <v>0</v>
      </c>
      <c r="P38" s="123">
        <f t="shared" si="22"/>
        <v>0</v>
      </c>
      <c r="Q38" s="121">
        <f t="shared" si="11"/>
        <v>1000000000</v>
      </c>
      <c r="R38" s="122">
        <f t="shared" si="12"/>
        <v>11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75" customHeight="1" x14ac:dyDescent="0.15">
      <c r="A39" s="112">
        <f t="shared" si="7"/>
        <v>46053</v>
      </c>
      <c r="B39" s="113" t="str">
        <f t="shared" si="8"/>
        <v>T+12M</v>
      </c>
      <c r="C39" s="114"/>
      <c r="D39" s="115"/>
      <c r="E39" s="115"/>
      <c r="F39" s="115"/>
      <c r="G39" s="115"/>
      <c r="H39" s="115"/>
      <c r="I39" s="115"/>
      <c r="J39" s="115"/>
      <c r="K39" s="115"/>
      <c r="L39" s="116"/>
      <c r="M39" s="117">
        <f t="shared" si="9"/>
        <v>0</v>
      </c>
      <c r="N39" s="118">
        <f t="shared" si="6"/>
        <v>0</v>
      </c>
      <c r="O39" s="117">
        <f t="shared" ref="O39:P39" si="23">M39-M38</f>
        <v>0</v>
      </c>
      <c r="P39" s="123">
        <f t="shared" si="23"/>
        <v>0</v>
      </c>
      <c r="Q39" s="121">
        <f t="shared" si="11"/>
        <v>1000000000</v>
      </c>
      <c r="R39" s="122">
        <f t="shared" si="12"/>
        <v>12</v>
      </c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75" customHeight="1" x14ac:dyDescent="0.15">
      <c r="A40" s="112">
        <f t="shared" si="7"/>
        <v>46081</v>
      </c>
      <c r="B40" s="113" t="str">
        <f t="shared" si="8"/>
        <v>T+13M</v>
      </c>
      <c r="C40" s="114"/>
      <c r="D40" s="115"/>
      <c r="E40" s="115"/>
      <c r="F40" s="115"/>
      <c r="G40" s="115"/>
      <c r="H40" s="115"/>
      <c r="I40" s="115"/>
      <c r="J40" s="115"/>
      <c r="K40" s="115"/>
      <c r="L40" s="116"/>
      <c r="M40" s="117">
        <f t="shared" si="9"/>
        <v>0</v>
      </c>
      <c r="N40" s="118">
        <f t="shared" si="6"/>
        <v>0</v>
      </c>
      <c r="O40" s="117">
        <f t="shared" ref="O40:P40" si="24">M40-M39</f>
        <v>0</v>
      </c>
      <c r="P40" s="123">
        <f t="shared" si="24"/>
        <v>0</v>
      </c>
      <c r="Q40" s="121">
        <f t="shared" si="11"/>
        <v>1000000000</v>
      </c>
      <c r="R40" s="122">
        <f t="shared" si="12"/>
        <v>13</v>
      </c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75" customHeight="1" x14ac:dyDescent="0.15">
      <c r="A41" s="112">
        <f t="shared" si="7"/>
        <v>46112</v>
      </c>
      <c r="B41" s="113" t="str">
        <f t="shared" si="8"/>
        <v>T+14M</v>
      </c>
      <c r="C41" s="114"/>
      <c r="D41" s="115"/>
      <c r="E41" s="115"/>
      <c r="F41" s="115"/>
      <c r="G41" s="115"/>
      <c r="H41" s="115"/>
      <c r="I41" s="115"/>
      <c r="J41" s="115"/>
      <c r="K41" s="115"/>
      <c r="L41" s="116"/>
      <c r="M41" s="117">
        <f t="shared" si="9"/>
        <v>0</v>
      </c>
      <c r="N41" s="118">
        <f t="shared" si="6"/>
        <v>0</v>
      </c>
      <c r="O41" s="117">
        <f t="shared" ref="O41:P41" si="25">M41-M40</f>
        <v>0</v>
      </c>
      <c r="P41" s="123">
        <f t="shared" si="25"/>
        <v>0</v>
      </c>
      <c r="Q41" s="121">
        <f t="shared" si="11"/>
        <v>1000000000</v>
      </c>
      <c r="R41" s="122">
        <f t="shared" si="12"/>
        <v>14</v>
      </c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75" customHeight="1" x14ac:dyDescent="0.15">
      <c r="A42" s="112">
        <f t="shared" si="7"/>
        <v>46142</v>
      </c>
      <c r="B42" s="113" t="str">
        <f t="shared" si="8"/>
        <v>T+15M</v>
      </c>
      <c r="C42" s="114"/>
      <c r="D42" s="115"/>
      <c r="E42" s="115"/>
      <c r="F42" s="115"/>
      <c r="G42" s="115"/>
      <c r="H42" s="115"/>
      <c r="I42" s="115"/>
      <c r="J42" s="115"/>
      <c r="K42" s="115"/>
      <c r="L42" s="116"/>
      <c r="M42" s="117">
        <f t="shared" si="9"/>
        <v>0</v>
      </c>
      <c r="N42" s="118">
        <f t="shared" si="6"/>
        <v>0</v>
      </c>
      <c r="O42" s="117">
        <f t="shared" ref="O42:P42" si="26">M42-M41</f>
        <v>0</v>
      </c>
      <c r="P42" s="123">
        <f t="shared" si="26"/>
        <v>0</v>
      </c>
      <c r="Q42" s="121">
        <f t="shared" si="11"/>
        <v>1000000000</v>
      </c>
      <c r="R42" s="122">
        <f t="shared" si="12"/>
        <v>15</v>
      </c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75" customHeight="1" x14ac:dyDescent="0.15">
      <c r="A43" s="112">
        <f t="shared" si="7"/>
        <v>46173</v>
      </c>
      <c r="B43" s="113" t="str">
        <f t="shared" si="8"/>
        <v>T+16M</v>
      </c>
      <c r="C43" s="114"/>
      <c r="D43" s="115"/>
      <c r="E43" s="124"/>
      <c r="F43" s="115"/>
      <c r="G43" s="115"/>
      <c r="H43" s="115"/>
      <c r="I43" s="115"/>
      <c r="J43" s="115"/>
      <c r="K43" s="115"/>
      <c r="L43" s="116"/>
      <c r="M43" s="117">
        <f t="shared" si="9"/>
        <v>0</v>
      </c>
      <c r="N43" s="118">
        <f t="shared" si="6"/>
        <v>0</v>
      </c>
      <c r="O43" s="117">
        <f t="shared" ref="O43:P43" si="27">M43-M42</f>
        <v>0</v>
      </c>
      <c r="P43" s="123">
        <f t="shared" si="27"/>
        <v>0</v>
      </c>
      <c r="Q43" s="121">
        <f t="shared" si="11"/>
        <v>1000000000</v>
      </c>
      <c r="R43" s="122">
        <f t="shared" si="12"/>
        <v>16</v>
      </c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75" customHeight="1" x14ac:dyDescent="0.15">
      <c r="A44" s="112">
        <f t="shared" si="7"/>
        <v>46203</v>
      </c>
      <c r="B44" s="113" t="str">
        <f t="shared" si="8"/>
        <v>T+17M</v>
      </c>
      <c r="C44" s="114"/>
      <c r="D44" s="115"/>
      <c r="E44" s="115"/>
      <c r="F44" s="115"/>
      <c r="G44" s="115"/>
      <c r="H44" s="115"/>
      <c r="I44" s="115"/>
      <c r="J44" s="115"/>
      <c r="K44" s="115"/>
      <c r="L44" s="116"/>
      <c r="M44" s="117">
        <f t="shared" si="9"/>
        <v>0</v>
      </c>
      <c r="N44" s="118">
        <f t="shared" si="6"/>
        <v>0</v>
      </c>
      <c r="O44" s="117">
        <f t="shared" ref="O44:P44" si="28">M44-M43</f>
        <v>0</v>
      </c>
      <c r="P44" s="123">
        <f t="shared" si="28"/>
        <v>0</v>
      </c>
      <c r="Q44" s="121">
        <f t="shared" si="11"/>
        <v>1000000000</v>
      </c>
      <c r="R44" s="122">
        <f t="shared" si="12"/>
        <v>17</v>
      </c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75" customHeight="1" x14ac:dyDescent="0.15">
      <c r="A45" s="112">
        <f t="shared" si="7"/>
        <v>46234</v>
      </c>
      <c r="B45" s="113" t="str">
        <f t="shared" si="8"/>
        <v>T+18M</v>
      </c>
      <c r="C45" s="114"/>
      <c r="D45" s="115"/>
      <c r="E45" s="115"/>
      <c r="F45" s="115"/>
      <c r="G45" s="115"/>
      <c r="H45" s="115"/>
      <c r="I45" s="115"/>
      <c r="J45" s="115"/>
      <c r="K45" s="115"/>
      <c r="L45" s="116"/>
      <c r="M45" s="117">
        <f t="shared" si="9"/>
        <v>0</v>
      </c>
      <c r="N45" s="118">
        <f t="shared" si="6"/>
        <v>0</v>
      </c>
      <c r="O45" s="117">
        <f t="shared" ref="O45:P45" si="29">M45-M44</f>
        <v>0</v>
      </c>
      <c r="P45" s="123">
        <f t="shared" si="29"/>
        <v>0</v>
      </c>
      <c r="Q45" s="121">
        <f t="shared" si="11"/>
        <v>1000000000</v>
      </c>
      <c r="R45" s="122">
        <f t="shared" si="12"/>
        <v>18</v>
      </c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75" customHeight="1" x14ac:dyDescent="0.15">
      <c r="A46" s="112">
        <f t="shared" si="7"/>
        <v>46265</v>
      </c>
      <c r="B46" s="113" t="str">
        <f t="shared" si="8"/>
        <v>T+19M</v>
      </c>
      <c r="C46" s="114"/>
      <c r="D46" s="115"/>
      <c r="E46" s="115"/>
      <c r="F46" s="115"/>
      <c r="G46" s="115"/>
      <c r="H46" s="115"/>
      <c r="I46" s="115"/>
      <c r="J46" s="115"/>
      <c r="K46" s="115"/>
      <c r="L46" s="116"/>
      <c r="M46" s="117">
        <f t="shared" si="9"/>
        <v>0</v>
      </c>
      <c r="N46" s="118">
        <f t="shared" si="6"/>
        <v>0</v>
      </c>
      <c r="O46" s="117">
        <f t="shared" ref="O46:P46" si="30">M46-M45</f>
        <v>0</v>
      </c>
      <c r="P46" s="123">
        <f t="shared" si="30"/>
        <v>0</v>
      </c>
      <c r="Q46" s="121">
        <f t="shared" si="11"/>
        <v>1000000000</v>
      </c>
      <c r="R46" s="122">
        <f t="shared" si="12"/>
        <v>19</v>
      </c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75" customHeight="1" x14ac:dyDescent="0.15">
      <c r="A47" s="112">
        <f t="shared" si="7"/>
        <v>46295</v>
      </c>
      <c r="B47" s="113" t="str">
        <f t="shared" si="8"/>
        <v>T+20M</v>
      </c>
      <c r="C47" s="114"/>
      <c r="D47" s="115"/>
      <c r="E47" s="115"/>
      <c r="F47" s="115"/>
      <c r="G47" s="115"/>
      <c r="H47" s="115"/>
      <c r="I47" s="115"/>
      <c r="J47" s="115"/>
      <c r="K47" s="115"/>
      <c r="L47" s="116"/>
      <c r="M47" s="117">
        <f t="shared" si="9"/>
        <v>0</v>
      </c>
      <c r="N47" s="118">
        <f t="shared" si="6"/>
        <v>0</v>
      </c>
      <c r="O47" s="117">
        <f t="shared" ref="O47:P47" si="31">M47-M46</f>
        <v>0</v>
      </c>
      <c r="P47" s="123">
        <f t="shared" si="31"/>
        <v>0</v>
      </c>
      <c r="Q47" s="121">
        <f t="shared" si="11"/>
        <v>1000000000</v>
      </c>
      <c r="R47" s="122">
        <f t="shared" si="12"/>
        <v>20</v>
      </c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75" customHeight="1" x14ac:dyDescent="0.15">
      <c r="A48" s="112">
        <f t="shared" si="7"/>
        <v>46326</v>
      </c>
      <c r="B48" s="113" t="str">
        <f t="shared" si="8"/>
        <v>T+21M</v>
      </c>
      <c r="C48" s="114"/>
      <c r="D48" s="115"/>
      <c r="E48" s="115"/>
      <c r="F48" s="115"/>
      <c r="G48" s="115"/>
      <c r="H48" s="115"/>
      <c r="I48" s="115"/>
      <c r="J48" s="115"/>
      <c r="K48" s="115"/>
      <c r="L48" s="116"/>
      <c r="M48" s="117">
        <f t="shared" si="9"/>
        <v>0</v>
      </c>
      <c r="N48" s="118">
        <f t="shared" si="6"/>
        <v>0</v>
      </c>
      <c r="O48" s="117">
        <f t="shared" ref="O48:P48" si="32">M48-M47</f>
        <v>0</v>
      </c>
      <c r="P48" s="123">
        <f t="shared" si="32"/>
        <v>0</v>
      </c>
      <c r="Q48" s="121">
        <f t="shared" si="11"/>
        <v>1000000000</v>
      </c>
      <c r="R48" s="122">
        <f t="shared" si="12"/>
        <v>21</v>
      </c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75" customHeight="1" x14ac:dyDescent="0.15">
      <c r="A49" s="112">
        <f t="shared" si="7"/>
        <v>46356</v>
      </c>
      <c r="B49" s="113" t="str">
        <f t="shared" si="8"/>
        <v>T+22M</v>
      </c>
      <c r="C49" s="114"/>
      <c r="D49" s="115"/>
      <c r="E49" s="115"/>
      <c r="F49" s="115"/>
      <c r="G49" s="115"/>
      <c r="H49" s="115"/>
      <c r="I49" s="115"/>
      <c r="J49" s="115"/>
      <c r="K49" s="115"/>
      <c r="L49" s="116"/>
      <c r="M49" s="117">
        <f t="shared" si="9"/>
        <v>0</v>
      </c>
      <c r="N49" s="118">
        <f t="shared" si="6"/>
        <v>0</v>
      </c>
      <c r="O49" s="117">
        <f t="shared" ref="O49:P49" si="33">M49-M48</f>
        <v>0</v>
      </c>
      <c r="P49" s="123">
        <f t="shared" si="33"/>
        <v>0</v>
      </c>
      <c r="Q49" s="121">
        <f t="shared" si="11"/>
        <v>1000000000</v>
      </c>
      <c r="R49" s="122">
        <f t="shared" si="12"/>
        <v>22</v>
      </c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  <row r="50" spans="1:37" ht="15.75" customHeight="1" x14ac:dyDescent="0.15">
      <c r="A50" s="112">
        <f t="shared" si="7"/>
        <v>46387</v>
      </c>
      <c r="B50" s="113" t="str">
        <f t="shared" si="8"/>
        <v>T+23M</v>
      </c>
      <c r="C50" s="114"/>
      <c r="D50" s="115"/>
      <c r="E50" s="115"/>
      <c r="F50" s="115"/>
      <c r="G50" s="115"/>
      <c r="H50" s="115"/>
      <c r="I50" s="115"/>
      <c r="J50" s="115"/>
      <c r="K50" s="115"/>
      <c r="L50" s="116"/>
      <c r="M50" s="117">
        <f t="shared" si="9"/>
        <v>0</v>
      </c>
      <c r="N50" s="118">
        <f t="shared" si="6"/>
        <v>0</v>
      </c>
      <c r="O50" s="117">
        <f t="shared" ref="O50:P50" si="34">M50-M49</f>
        <v>0</v>
      </c>
      <c r="P50" s="123">
        <f t="shared" si="34"/>
        <v>0</v>
      </c>
      <c r="Q50" s="121">
        <f t="shared" si="11"/>
        <v>1000000000</v>
      </c>
      <c r="R50" s="122">
        <f t="shared" si="12"/>
        <v>23</v>
      </c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</row>
    <row r="51" spans="1:37" ht="15.75" customHeight="1" x14ac:dyDescent="0.15">
      <c r="A51" s="112">
        <f t="shared" si="7"/>
        <v>46418</v>
      </c>
      <c r="B51" s="113" t="str">
        <f t="shared" si="8"/>
        <v>T+24M</v>
      </c>
      <c r="C51" s="114"/>
      <c r="D51" s="115"/>
      <c r="E51" s="115"/>
      <c r="F51" s="115"/>
      <c r="G51" s="115"/>
      <c r="H51" s="115"/>
      <c r="I51" s="115"/>
      <c r="J51" s="115"/>
      <c r="K51" s="115"/>
      <c r="L51" s="116"/>
      <c r="M51" s="117">
        <f t="shared" si="9"/>
        <v>0</v>
      </c>
      <c r="N51" s="118">
        <f t="shared" si="6"/>
        <v>0</v>
      </c>
      <c r="O51" s="117">
        <f t="shared" ref="O51:P51" si="35">M51-M50</f>
        <v>0</v>
      </c>
      <c r="P51" s="123">
        <f t="shared" si="35"/>
        <v>0</v>
      </c>
      <c r="Q51" s="121">
        <f t="shared" si="11"/>
        <v>1000000000</v>
      </c>
      <c r="R51" s="122">
        <f t="shared" si="12"/>
        <v>24</v>
      </c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</row>
    <row r="52" spans="1:37" ht="15.75" customHeight="1" x14ac:dyDescent="0.15">
      <c r="A52" s="112">
        <f t="shared" si="7"/>
        <v>46446</v>
      </c>
      <c r="B52" s="113" t="str">
        <f t="shared" si="8"/>
        <v>T+25M</v>
      </c>
      <c r="C52" s="114"/>
      <c r="D52" s="115"/>
      <c r="E52" s="115"/>
      <c r="F52" s="115"/>
      <c r="G52" s="115"/>
      <c r="H52" s="115"/>
      <c r="I52" s="115"/>
      <c r="J52" s="115"/>
      <c r="K52" s="115"/>
      <c r="L52" s="116"/>
      <c r="M52" s="117">
        <f t="shared" si="9"/>
        <v>0</v>
      </c>
      <c r="N52" s="118">
        <f t="shared" si="6"/>
        <v>0</v>
      </c>
      <c r="O52" s="117">
        <f t="shared" ref="O52:P52" si="36">M52-M51</f>
        <v>0</v>
      </c>
      <c r="P52" s="123">
        <f t="shared" si="36"/>
        <v>0</v>
      </c>
      <c r="Q52" s="121">
        <f t="shared" si="11"/>
        <v>1000000000</v>
      </c>
      <c r="R52" s="122">
        <f t="shared" si="12"/>
        <v>25</v>
      </c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</row>
    <row r="53" spans="1:37" ht="15.75" customHeight="1" x14ac:dyDescent="0.15">
      <c r="A53" s="112">
        <f t="shared" si="7"/>
        <v>46477</v>
      </c>
      <c r="B53" s="113" t="str">
        <f t="shared" si="8"/>
        <v>T+26M</v>
      </c>
      <c r="C53" s="114"/>
      <c r="D53" s="115"/>
      <c r="E53" s="115"/>
      <c r="F53" s="115"/>
      <c r="G53" s="115"/>
      <c r="H53" s="115"/>
      <c r="I53" s="115"/>
      <c r="J53" s="115"/>
      <c r="K53" s="115"/>
      <c r="L53" s="116"/>
      <c r="M53" s="117">
        <f t="shared" si="9"/>
        <v>0</v>
      </c>
      <c r="N53" s="118">
        <f t="shared" si="6"/>
        <v>0</v>
      </c>
      <c r="O53" s="117">
        <f t="shared" ref="O53:P53" si="37">M53-M52</f>
        <v>0</v>
      </c>
      <c r="P53" s="123">
        <f t="shared" si="37"/>
        <v>0</v>
      </c>
      <c r="Q53" s="121">
        <f t="shared" si="11"/>
        <v>1000000000</v>
      </c>
      <c r="R53" s="122">
        <f t="shared" si="12"/>
        <v>26</v>
      </c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</row>
    <row r="54" spans="1:37" ht="15.75" customHeight="1" x14ac:dyDescent="0.15">
      <c r="A54" s="112">
        <f t="shared" si="7"/>
        <v>46507</v>
      </c>
      <c r="B54" s="113" t="str">
        <f t="shared" si="8"/>
        <v>T+27M</v>
      </c>
      <c r="C54" s="114"/>
      <c r="D54" s="115"/>
      <c r="E54" s="115"/>
      <c r="F54" s="115"/>
      <c r="G54" s="115"/>
      <c r="H54" s="115"/>
      <c r="I54" s="115"/>
      <c r="J54" s="115"/>
      <c r="K54" s="115"/>
      <c r="L54" s="116"/>
      <c r="M54" s="117">
        <f t="shared" si="9"/>
        <v>0</v>
      </c>
      <c r="N54" s="118">
        <f t="shared" si="6"/>
        <v>0</v>
      </c>
      <c r="O54" s="117">
        <f t="shared" ref="O54:P54" si="38">M54-M53</f>
        <v>0</v>
      </c>
      <c r="P54" s="123">
        <f t="shared" si="38"/>
        <v>0</v>
      </c>
      <c r="Q54" s="121">
        <f t="shared" si="11"/>
        <v>1000000000</v>
      </c>
      <c r="R54" s="122">
        <f t="shared" si="12"/>
        <v>27</v>
      </c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</row>
    <row r="55" spans="1:37" ht="15.75" customHeight="1" x14ac:dyDescent="0.15">
      <c r="A55" s="112">
        <f t="shared" si="7"/>
        <v>46538</v>
      </c>
      <c r="B55" s="113" t="str">
        <f t="shared" si="8"/>
        <v>T+28M</v>
      </c>
      <c r="C55" s="114"/>
      <c r="D55" s="115"/>
      <c r="E55" s="115"/>
      <c r="F55" s="115"/>
      <c r="G55" s="115"/>
      <c r="H55" s="115"/>
      <c r="I55" s="115"/>
      <c r="J55" s="115"/>
      <c r="K55" s="115"/>
      <c r="L55" s="116"/>
      <c r="M55" s="117">
        <f t="shared" si="9"/>
        <v>0</v>
      </c>
      <c r="N55" s="118">
        <f t="shared" si="6"/>
        <v>0</v>
      </c>
      <c r="O55" s="117">
        <f t="shared" ref="O55:P55" si="39">M55-M54</f>
        <v>0</v>
      </c>
      <c r="P55" s="123">
        <f t="shared" si="39"/>
        <v>0</v>
      </c>
      <c r="Q55" s="121">
        <f t="shared" si="11"/>
        <v>1000000000</v>
      </c>
      <c r="R55" s="122">
        <f t="shared" si="12"/>
        <v>28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</row>
    <row r="56" spans="1:37" ht="15.75" customHeight="1" x14ac:dyDescent="0.15">
      <c r="A56" s="112">
        <f t="shared" si="7"/>
        <v>46568</v>
      </c>
      <c r="B56" s="113" t="str">
        <f t="shared" si="8"/>
        <v>T+29M</v>
      </c>
      <c r="C56" s="114"/>
      <c r="D56" s="115"/>
      <c r="E56" s="115"/>
      <c r="F56" s="115"/>
      <c r="G56" s="115"/>
      <c r="H56" s="115"/>
      <c r="I56" s="115"/>
      <c r="J56" s="115"/>
      <c r="K56" s="115"/>
      <c r="L56" s="116"/>
      <c r="M56" s="117">
        <f t="shared" si="9"/>
        <v>0</v>
      </c>
      <c r="N56" s="118">
        <f t="shared" si="6"/>
        <v>0</v>
      </c>
      <c r="O56" s="117">
        <f t="shared" ref="O56:P56" si="40">M56-M55</f>
        <v>0</v>
      </c>
      <c r="P56" s="123">
        <f t="shared" si="40"/>
        <v>0</v>
      </c>
      <c r="Q56" s="121">
        <f t="shared" si="11"/>
        <v>1000000000</v>
      </c>
      <c r="R56" s="122">
        <f t="shared" si="12"/>
        <v>29</v>
      </c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</row>
    <row r="57" spans="1:37" ht="15.75" customHeight="1" x14ac:dyDescent="0.15">
      <c r="A57" s="112">
        <f t="shared" si="7"/>
        <v>46599</v>
      </c>
      <c r="B57" s="113" t="str">
        <f t="shared" si="8"/>
        <v>T+30M</v>
      </c>
      <c r="C57" s="114"/>
      <c r="D57" s="115"/>
      <c r="E57" s="115"/>
      <c r="F57" s="115"/>
      <c r="G57" s="115"/>
      <c r="H57" s="115"/>
      <c r="I57" s="115"/>
      <c r="J57" s="115"/>
      <c r="K57" s="115"/>
      <c r="L57" s="116"/>
      <c r="M57" s="117">
        <f t="shared" si="9"/>
        <v>0</v>
      </c>
      <c r="N57" s="118">
        <f t="shared" si="6"/>
        <v>0</v>
      </c>
      <c r="O57" s="117">
        <f t="shared" ref="O57:P57" si="41">M57-M56</f>
        <v>0</v>
      </c>
      <c r="P57" s="123">
        <f t="shared" si="41"/>
        <v>0</v>
      </c>
      <c r="Q57" s="121">
        <f t="shared" si="11"/>
        <v>1000000000</v>
      </c>
      <c r="R57" s="122">
        <f t="shared" si="12"/>
        <v>30</v>
      </c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</row>
    <row r="58" spans="1:37" ht="15.75" customHeight="1" x14ac:dyDescent="0.15">
      <c r="A58" s="112">
        <f t="shared" si="7"/>
        <v>46630</v>
      </c>
      <c r="B58" s="113" t="str">
        <f t="shared" si="8"/>
        <v>T+31M</v>
      </c>
      <c r="C58" s="114"/>
      <c r="D58" s="115"/>
      <c r="E58" s="115"/>
      <c r="F58" s="115"/>
      <c r="G58" s="115"/>
      <c r="H58" s="115"/>
      <c r="I58" s="115"/>
      <c r="J58" s="115"/>
      <c r="K58" s="115"/>
      <c r="L58" s="116"/>
      <c r="M58" s="117">
        <f t="shared" si="9"/>
        <v>0</v>
      </c>
      <c r="N58" s="118">
        <f t="shared" si="6"/>
        <v>0</v>
      </c>
      <c r="O58" s="117">
        <f t="shared" ref="O58:P58" si="42">M58-M57</f>
        <v>0</v>
      </c>
      <c r="P58" s="123">
        <f t="shared" si="42"/>
        <v>0</v>
      </c>
      <c r="Q58" s="121">
        <f t="shared" si="11"/>
        <v>1000000000</v>
      </c>
      <c r="R58" s="122">
        <f t="shared" si="12"/>
        <v>31</v>
      </c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spans="1:37" ht="15.75" customHeight="1" x14ac:dyDescent="0.15">
      <c r="A59" s="112">
        <f t="shared" si="7"/>
        <v>46660</v>
      </c>
      <c r="B59" s="113" t="str">
        <f t="shared" si="8"/>
        <v>T+32M</v>
      </c>
      <c r="C59" s="114"/>
      <c r="D59" s="115"/>
      <c r="E59" s="115"/>
      <c r="F59" s="115"/>
      <c r="G59" s="115"/>
      <c r="H59" s="115"/>
      <c r="I59" s="115"/>
      <c r="J59" s="115"/>
      <c r="K59" s="115"/>
      <c r="L59" s="116"/>
      <c r="M59" s="117">
        <f t="shared" si="9"/>
        <v>0</v>
      </c>
      <c r="N59" s="118">
        <f t="shared" si="6"/>
        <v>0</v>
      </c>
      <c r="O59" s="117">
        <f t="shared" ref="O59:P59" si="43">M59-M58</f>
        <v>0</v>
      </c>
      <c r="P59" s="123">
        <f t="shared" si="43"/>
        <v>0</v>
      </c>
      <c r="Q59" s="121">
        <f t="shared" si="11"/>
        <v>1000000000</v>
      </c>
      <c r="R59" s="122">
        <f t="shared" si="12"/>
        <v>32</v>
      </c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spans="1:37" ht="15.75" customHeight="1" x14ac:dyDescent="0.15">
      <c r="A60" s="112">
        <f t="shared" si="7"/>
        <v>46691</v>
      </c>
      <c r="B60" s="113" t="str">
        <f t="shared" si="8"/>
        <v>T+33M</v>
      </c>
      <c r="C60" s="114"/>
      <c r="D60" s="115"/>
      <c r="E60" s="115"/>
      <c r="F60" s="115"/>
      <c r="G60" s="115"/>
      <c r="H60" s="115"/>
      <c r="I60" s="115"/>
      <c r="J60" s="115"/>
      <c r="K60" s="115"/>
      <c r="L60" s="116"/>
      <c r="M60" s="117">
        <f t="shared" si="9"/>
        <v>0</v>
      </c>
      <c r="N60" s="118">
        <f t="shared" si="6"/>
        <v>0</v>
      </c>
      <c r="O60" s="117">
        <f t="shared" ref="O60:P60" si="44">M60-M59</f>
        <v>0</v>
      </c>
      <c r="P60" s="123">
        <f t="shared" si="44"/>
        <v>0</v>
      </c>
      <c r="Q60" s="121">
        <f t="shared" si="11"/>
        <v>1000000000</v>
      </c>
      <c r="R60" s="122">
        <f t="shared" si="12"/>
        <v>33</v>
      </c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spans="1:37" ht="15.75" customHeight="1" x14ac:dyDescent="0.15">
      <c r="A61" s="112">
        <f t="shared" si="7"/>
        <v>46721</v>
      </c>
      <c r="B61" s="113" t="str">
        <f t="shared" si="8"/>
        <v>T+34M</v>
      </c>
      <c r="C61" s="114"/>
      <c r="D61" s="115"/>
      <c r="E61" s="115"/>
      <c r="F61" s="115"/>
      <c r="G61" s="115"/>
      <c r="H61" s="115"/>
      <c r="I61" s="115"/>
      <c r="J61" s="115"/>
      <c r="K61" s="115"/>
      <c r="L61" s="116"/>
      <c r="M61" s="117">
        <f t="shared" si="9"/>
        <v>0</v>
      </c>
      <c r="N61" s="118">
        <f t="shared" si="6"/>
        <v>0</v>
      </c>
      <c r="O61" s="117">
        <f t="shared" ref="O61:P61" si="45">M61-M60</f>
        <v>0</v>
      </c>
      <c r="P61" s="123">
        <f t="shared" si="45"/>
        <v>0</v>
      </c>
      <c r="Q61" s="121">
        <f t="shared" si="11"/>
        <v>1000000000</v>
      </c>
      <c r="R61" s="122">
        <f t="shared" si="12"/>
        <v>34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spans="1:37" ht="15.75" customHeight="1" x14ac:dyDescent="0.15">
      <c r="A62" s="112">
        <f t="shared" si="7"/>
        <v>46752</v>
      </c>
      <c r="B62" s="113" t="str">
        <f t="shared" si="8"/>
        <v>T+35M</v>
      </c>
      <c r="C62" s="114"/>
      <c r="D62" s="115"/>
      <c r="E62" s="115"/>
      <c r="F62" s="115"/>
      <c r="G62" s="115"/>
      <c r="H62" s="115"/>
      <c r="I62" s="115"/>
      <c r="J62" s="115"/>
      <c r="K62" s="115"/>
      <c r="L62" s="116"/>
      <c r="M62" s="117">
        <f t="shared" si="9"/>
        <v>0</v>
      </c>
      <c r="N62" s="118">
        <f t="shared" si="6"/>
        <v>0</v>
      </c>
      <c r="O62" s="117">
        <f t="shared" ref="O62:P62" si="46">M62-M61</f>
        <v>0</v>
      </c>
      <c r="P62" s="123">
        <f t="shared" si="46"/>
        <v>0</v>
      </c>
      <c r="Q62" s="121">
        <f t="shared" si="11"/>
        <v>1000000000</v>
      </c>
      <c r="R62" s="122">
        <f t="shared" si="12"/>
        <v>35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spans="1:37" ht="15.75" customHeight="1" x14ac:dyDescent="0.15">
      <c r="A63" s="112">
        <f t="shared" si="7"/>
        <v>46783</v>
      </c>
      <c r="B63" s="113" t="str">
        <f t="shared" si="8"/>
        <v>T+36M</v>
      </c>
      <c r="C63" s="114"/>
      <c r="D63" s="115"/>
      <c r="E63" s="115"/>
      <c r="F63" s="115"/>
      <c r="G63" s="115"/>
      <c r="H63" s="115"/>
      <c r="I63" s="115"/>
      <c r="J63" s="115"/>
      <c r="K63" s="115"/>
      <c r="L63" s="116"/>
      <c r="M63" s="117">
        <f t="shared" si="9"/>
        <v>0</v>
      </c>
      <c r="N63" s="118">
        <f t="shared" si="6"/>
        <v>0</v>
      </c>
      <c r="O63" s="117">
        <f t="shared" ref="O63:P63" si="47">M63-M62</f>
        <v>0</v>
      </c>
      <c r="P63" s="123">
        <f t="shared" si="47"/>
        <v>0</v>
      </c>
      <c r="Q63" s="121">
        <f t="shared" si="11"/>
        <v>1000000000</v>
      </c>
      <c r="R63" s="122">
        <f t="shared" si="12"/>
        <v>36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spans="1:37" ht="15.75" customHeight="1" x14ac:dyDescent="0.15">
      <c r="A64" s="112">
        <f t="shared" si="7"/>
        <v>46812</v>
      </c>
      <c r="B64" s="113" t="str">
        <f t="shared" si="8"/>
        <v>T+37M</v>
      </c>
      <c r="C64" s="114"/>
      <c r="D64" s="115"/>
      <c r="E64" s="115"/>
      <c r="F64" s="115"/>
      <c r="G64" s="115"/>
      <c r="H64" s="115"/>
      <c r="I64" s="115"/>
      <c r="J64" s="115"/>
      <c r="K64" s="115"/>
      <c r="L64" s="116"/>
      <c r="M64" s="117">
        <f t="shared" si="9"/>
        <v>0</v>
      </c>
      <c r="N64" s="118">
        <f t="shared" si="6"/>
        <v>0</v>
      </c>
      <c r="O64" s="117">
        <f t="shared" ref="O64:P64" si="48">M64-M63</f>
        <v>0</v>
      </c>
      <c r="P64" s="123">
        <f t="shared" si="48"/>
        <v>0</v>
      </c>
      <c r="Q64" s="121">
        <f t="shared" si="11"/>
        <v>1000000000</v>
      </c>
      <c r="R64" s="122">
        <f t="shared" si="12"/>
        <v>37</v>
      </c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spans="1:37" ht="15.75" customHeight="1" x14ac:dyDescent="0.15">
      <c r="A65" s="112">
        <f t="shared" si="7"/>
        <v>46843</v>
      </c>
      <c r="B65" s="113" t="str">
        <f t="shared" si="8"/>
        <v>T+38M</v>
      </c>
      <c r="C65" s="114"/>
      <c r="D65" s="115"/>
      <c r="E65" s="115"/>
      <c r="F65" s="115"/>
      <c r="G65" s="115"/>
      <c r="H65" s="115"/>
      <c r="I65" s="115"/>
      <c r="J65" s="115"/>
      <c r="K65" s="115"/>
      <c r="L65" s="116"/>
      <c r="M65" s="117">
        <f t="shared" si="9"/>
        <v>0</v>
      </c>
      <c r="N65" s="118">
        <f t="shared" si="6"/>
        <v>0</v>
      </c>
      <c r="O65" s="117">
        <f t="shared" ref="O65:P65" si="49">M65-M64</f>
        <v>0</v>
      </c>
      <c r="P65" s="123">
        <f t="shared" si="49"/>
        <v>0</v>
      </c>
      <c r="Q65" s="121">
        <f t="shared" si="11"/>
        <v>1000000000</v>
      </c>
      <c r="R65" s="122">
        <f t="shared" si="12"/>
        <v>38</v>
      </c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spans="1:37" ht="15.75" customHeight="1" x14ac:dyDescent="0.15">
      <c r="A66" s="112">
        <f t="shared" si="7"/>
        <v>46873</v>
      </c>
      <c r="B66" s="113" t="str">
        <f t="shared" si="8"/>
        <v>T+39M</v>
      </c>
      <c r="C66" s="114"/>
      <c r="D66" s="115"/>
      <c r="E66" s="115"/>
      <c r="F66" s="115"/>
      <c r="G66" s="115"/>
      <c r="H66" s="115"/>
      <c r="I66" s="115"/>
      <c r="J66" s="115"/>
      <c r="K66" s="115"/>
      <c r="L66" s="116"/>
      <c r="M66" s="117">
        <f t="shared" si="9"/>
        <v>0</v>
      </c>
      <c r="N66" s="118">
        <f t="shared" si="6"/>
        <v>0</v>
      </c>
      <c r="O66" s="117">
        <f t="shared" ref="O66:P66" si="50">M66-M65</f>
        <v>0</v>
      </c>
      <c r="P66" s="123">
        <f t="shared" si="50"/>
        <v>0</v>
      </c>
      <c r="Q66" s="121">
        <f t="shared" si="11"/>
        <v>1000000000</v>
      </c>
      <c r="R66" s="122">
        <f t="shared" si="12"/>
        <v>39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spans="1:37" ht="15.75" customHeight="1" x14ac:dyDescent="0.15">
      <c r="A67" s="112">
        <f t="shared" si="7"/>
        <v>46904</v>
      </c>
      <c r="B67" s="113" t="str">
        <f t="shared" si="8"/>
        <v>T+40M</v>
      </c>
      <c r="C67" s="114"/>
      <c r="D67" s="115"/>
      <c r="E67" s="115"/>
      <c r="F67" s="115"/>
      <c r="G67" s="115"/>
      <c r="H67" s="115"/>
      <c r="I67" s="115"/>
      <c r="J67" s="115"/>
      <c r="K67" s="115"/>
      <c r="L67" s="116"/>
      <c r="M67" s="117">
        <f t="shared" si="9"/>
        <v>0</v>
      </c>
      <c r="N67" s="118">
        <f t="shared" si="6"/>
        <v>0</v>
      </c>
      <c r="O67" s="117">
        <f t="shared" ref="O67:P67" si="51">M67-M66</f>
        <v>0</v>
      </c>
      <c r="P67" s="123">
        <f t="shared" si="51"/>
        <v>0</v>
      </c>
      <c r="Q67" s="121">
        <f t="shared" si="11"/>
        <v>1000000000</v>
      </c>
      <c r="R67" s="122">
        <f t="shared" si="12"/>
        <v>40</v>
      </c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spans="1:37" ht="15.75" customHeight="1" x14ac:dyDescent="0.15">
      <c r="A68" s="112">
        <f t="shared" si="7"/>
        <v>46934</v>
      </c>
      <c r="B68" s="113" t="str">
        <f t="shared" si="8"/>
        <v>T+41M</v>
      </c>
      <c r="C68" s="114"/>
      <c r="D68" s="115"/>
      <c r="E68" s="115"/>
      <c r="F68" s="115"/>
      <c r="G68" s="115"/>
      <c r="H68" s="115"/>
      <c r="I68" s="115"/>
      <c r="J68" s="115"/>
      <c r="K68" s="115"/>
      <c r="L68" s="116"/>
      <c r="M68" s="117">
        <f t="shared" si="9"/>
        <v>0</v>
      </c>
      <c r="N68" s="118">
        <f t="shared" si="6"/>
        <v>0</v>
      </c>
      <c r="O68" s="117">
        <f t="shared" ref="O68:P68" si="52">M68-M67</f>
        <v>0</v>
      </c>
      <c r="P68" s="123">
        <f t="shared" si="52"/>
        <v>0</v>
      </c>
      <c r="Q68" s="121">
        <f t="shared" si="11"/>
        <v>1000000000</v>
      </c>
      <c r="R68" s="122">
        <f t="shared" si="12"/>
        <v>41</v>
      </c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spans="1:37" ht="15.75" customHeight="1" x14ac:dyDescent="0.15">
      <c r="A69" s="112">
        <f t="shared" si="7"/>
        <v>46965</v>
      </c>
      <c r="B69" s="113" t="str">
        <f t="shared" si="8"/>
        <v>T+42M</v>
      </c>
      <c r="C69" s="114"/>
      <c r="D69" s="115"/>
      <c r="E69" s="115"/>
      <c r="F69" s="115"/>
      <c r="G69" s="115"/>
      <c r="H69" s="115"/>
      <c r="I69" s="115"/>
      <c r="J69" s="115"/>
      <c r="K69" s="115"/>
      <c r="L69" s="116"/>
      <c r="M69" s="117">
        <f t="shared" si="9"/>
        <v>0</v>
      </c>
      <c r="N69" s="118">
        <f t="shared" si="6"/>
        <v>0</v>
      </c>
      <c r="O69" s="117">
        <f t="shared" ref="O69:P69" si="53">M69-M68</f>
        <v>0</v>
      </c>
      <c r="P69" s="123">
        <f t="shared" si="53"/>
        <v>0</v>
      </c>
      <c r="Q69" s="121">
        <f t="shared" si="11"/>
        <v>1000000000</v>
      </c>
      <c r="R69" s="122">
        <f t="shared" si="12"/>
        <v>42</v>
      </c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spans="1:37" ht="15.75" customHeight="1" x14ac:dyDescent="0.15">
      <c r="A70" s="112">
        <f t="shared" si="7"/>
        <v>46996</v>
      </c>
      <c r="B70" s="113" t="str">
        <f t="shared" si="8"/>
        <v>T+43M</v>
      </c>
      <c r="C70" s="114"/>
      <c r="D70" s="115"/>
      <c r="E70" s="115"/>
      <c r="F70" s="115"/>
      <c r="G70" s="115"/>
      <c r="H70" s="115"/>
      <c r="I70" s="115"/>
      <c r="J70" s="115"/>
      <c r="K70" s="115"/>
      <c r="L70" s="116"/>
      <c r="M70" s="117">
        <f t="shared" si="9"/>
        <v>0</v>
      </c>
      <c r="N70" s="118">
        <f t="shared" si="6"/>
        <v>0</v>
      </c>
      <c r="O70" s="117">
        <f t="shared" ref="O70:P70" si="54">M70-M69</f>
        <v>0</v>
      </c>
      <c r="P70" s="123">
        <f t="shared" si="54"/>
        <v>0</v>
      </c>
      <c r="Q70" s="121">
        <f t="shared" si="11"/>
        <v>1000000000</v>
      </c>
      <c r="R70" s="122">
        <f t="shared" si="12"/>
        <v>43</v>
      </c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spans="1:37" ht="15.75" customHeight="1" x14ac:dyDescent="0.15">
      <c r="A71" s="112">
        <f t="shared" si="7"/>
        <v>47026</v>
      </c>
      <c r="B71" s="113" t="str">
        <f t="shared" si="8"/>
        <v>T+44M</v>
      </c>
      <c r="C71" s="114"/>
      <c r="D71" s="115"/>
      <c r="E71" s="115"/>
      <c r="F71" s="115"/>
      <c r="G71" s="115"/>
      <c r="H71" s="115"/>
      <c r="I71" s="115"/>
      <c r="J71" s="115"/>
      <c r="K71" s="115"/>
      <c r="L71" s="116"/>
      <c r="M71" s="117">
        <f t="shared" si="9"/>
        <v>0</v>
      </c>
      <c r="N71" s="118">
        <f t="shared" si="6"/>
        <v>0</v>
      </c>
      <c r="O71" s="117">
        <f t="shared" ref="O71:P71" si="55">M71-M70</f>
        <v>0</v>
      </c>
      <c r="P71" s="123">
        <f t="shared" si="55"/>
        <v>0</v>
      </c>
      <c r="Q71" s="121">
        <f t="shared" si="11"/>
        <v>1000000000</v>
      </c>
      <c r="R71" s="122">
        <f t="shared" si="12"/>
        <v>44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spans="1:37" ht="15.75" customHeight="1" x14ac:dyDescent="0.15">
      <c r="A72" s="112">
        <f t="shared" si="7"/>
        <v>47057</v>
      </c>
      <c r="B72" s="113" t="str">
        <f t="shared" si="8"/>
        <v>T+45M</v>
      </c>
      <c r="C72" s="114"/>
      <c r="D72" s="115"/>
      <c r="E72" s="115"/>
      <c r="F72" s="115"/>
      <c r="G72" s="115"/>
      <c r="H72" s="115"/>
      <c r="I72" s="115"/>
      <c r="J72" s="115"/>
      <c r="K72" s="115"/>
      <c r="L72" s="116"/>
      <c r="M72" s="117">
        <f t="shared" si="9"/>
        <v>0</v>
      </c>
      <c r="N72" s="118">
        <f t="shared" si="6"/>
        <v>0</v>
      </c>
      <c r="O72" s="117">
        <f t="shared" ref="O72:P72" si="56">M72-M71</f>
        <v>0</v>
      </c>
      <c r="P72" s="123">
        <f t="shared" si="56"/>
        <v>0</v>
      </c>
      <c r="Q72" s="121">
        <f t="shared" si="11"/>
        <v>1000000000</v>
      </c>
      <c r="R72" s="122">
        <f t="shared" si="12"/>
        <v>45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spans="1:37" ht="15.75" customHeight="1" x14ac:dyDescent="0.15">
      <c r="A73" s="112">
        <f t="shared" si="7"/>
        <v>47087</v>
      </c>
      <c r="B73" s="113" t="str">
        <f t="shared" si="8"/>
        <v>T+46M</v>
      </c>
      <c r="C73" s="114"/>
      <c r="D73" s="115"/>
      <c r="E73" s="115"/>
      <c r="F73" s="115"/>
      <c r="G73" s="115"/>
      <c r="H73" s="115"/>
      <c r="I73" s="115"/>
      <c r="J73" s="115"/>
      <c r="K73" s="115"/>
      <c r="L73" s="116"/>
      <c r="M73" s="117">
        <f t="shared" si="9"/>
        <v>0</v>
      </c>
      <c r="N73" s="118">
        <f t="shared" si="6"/>
        <v>0</v>
      </c>
      <c r="O73" s="117">
        <f t="shared" ref="O73:P73" si="57">M73-M72</f>
        <v>0</v>
      </c>
      <c r="P73" s="123">
        <f t="shared" si="57"/>
        <v>0</v>
      </c>
      <c r="Q73" s="121">
        <f t="shared" si="11"/>
        <v>1000000000</v>
      </c>
      <c r="R73" s="122">
        <f t="shared" si="12"/>
        <v>46</v>
      </c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spans="1:37" ht="15.75" customHeight="1" x14ac:dyDescent="0.15">
      <c r="A74" s="112">
        <f t="shared" si="7"/>
        <v>47118</v>
      </c>
      <c r="B74" s="113" t="str">
        <f t="shared" si="8"/>
        <v>T+47M</v>
      </c>
      <c r="C74" s="114"/>
      <c r="D74" s="115"/>
      <c r="E74" s="115"/>
      <c r="F74" s="115"/>
      <c r="G74" s="115"/>
      <c r="H74" s="115"/>
      <c r="I74" s="115"/>
      <c r="J74" s="115"/>
      <c r="K74" s="115"/>
      <c r="L74" s="116"/>
      <c r="M74" s="117">
        <f t="shared" si="9"/>
        <v>0</v>
      </c>
      <c r="N74" s="118">
        <f t="shared" si="6"/>
        <v>0</v>
      </c>
      <c r="O74" s="117">
        <f t="shared" ref="O74:P74" si="58">M74-M73</f>
        <v>0</v>
      </c>
      <c r="P74" s="123">
        <f t="shared" si="58"/>
        <v>0</v>
      </c>
      <c r="Q74" s="121">
        <f t="shared" si="11"/>
        <v>1000000000</v>
      </c>
      <c r="R74" s="122">
        <f t="shared" si="12"/>
        <v>47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spans="1:37" ht="15.75" customHeight="1" x14ac:dyDescent="0.15">
      <c r="A75" s="112">
        <f t="shared" si="7"/>
        <v>47149</v>
      </c>
      <c r="B75" s="113" t="str">
        <f t="shared" si="8"/>
        <v>T+48M</v>
      </c>
      <c r="C75" s="114"/>
      <c r="D75" s="115"/>
      <c r="E75" s="115"/>
      <c r="F75" s="115"/>
      <c r="G75" s="115"/>
      <c r="H75" s="115"/>
      <c r="I75" s="115"/>
      <c r="J75" s="115"/>
      <c r="K75" s="115"/>
      <c r="L75" s="116"/>
      <c r="M75" s="117">
        <f t="shared" si="9"/>
        <v>0</v>
      </c>
      <c r="N75" s="118">
        <f t="shared" si="6"/>
        <v>0</v>
      </c>
      <c r="O75" s="117">
        <f t="shared" ref="O75:P75" si="59">M75-M74</f>
        <v>0</v>
      </c>
      <c r="P75" s="123">
        <f t="shared" si="59"/>
        <v>0</v>
      </c>
      <c r="Q75" s="121">
        <f t="shared" si="11"/>
        <v>1000000000</v>
      </c>
      <c r="R75" s="122">
        <f t="shared" si="12"/>
        <v>48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spans="1:37" ht="15.75" customHeight="1" x14ac:dyDescent="0.15">
      <c r="A76" s="112">
        <f t="shared" si="7"/>
        <v>47177</v>
      </c>
      <c r="B76" s="113" t="str">
        <f t="shared" si="8"/>
        <v>T+49M</v>
      </c>
      <c r="C76" s="114"/>
      <c r="D76" s="115"/>
      <c r="E76" s="115"/>
      <c r="F76" s="115"/>
      <c r="G76" s="115"/>
      <c r="H76" s="115"/>
      <c r="I76" s="115"/>
      <c r="J76" s="115"/>
      <c r="K76" s="115"/>
      <c r="L76" s="116"/>
      <c r="M76" s="117">
        <f t="shared" si="9"/>
        <v>0</v>
      </c>
      <c r="N76" s="118">
        <f t="shared" si="6"/>
        <v>0</v>
      </c>
      <c r="O76" s="117">
        <f t="shared" ref="O76:P76" si="60">M76-M75</f>
        <v>0</v>
      </c>
      <c r="P76" s="123">
        <f t="shared" si="60"/>
        <v>0</v>
      </c>
      <c r="Q76" s="121">
        <f t="shared" si="11"/>
        <v>1000000000</v>
      </c>
      <c r="R76" s="122">
        <f t="shared" si="12"/>
        <v>49</v>
      </c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spans="1:37" ht="15.75" customHeight="1" x14ac:dyDescent="0.15">
      <c r="A77" s="112">
        <f t="shared" si="7"/>
        <v>47208</v>
      </c>
      <c r="B77" s="113" t="str">
        <f t="shared" si="8"/>
        <v>T+50M</v>
      </c>
      <c r="C77" s="114"/>
      <c r="D77" s="115"/>
      <c r="E77" s="115"/>
      <c r="F77" s="115"/>
      <c r="G77" s="115"/>
      <c r="H77" s="115"/>
      <c r="I77" s="115"/>
      <c r="J77" s="115"/>
      <c r="K77" s="115"/>
      <c r="L77" s="116"/>
      <c r="M77" s="117">
        <f t="shared" si="9"/>
        <v>0</v>
      </c>
      <c r="N77" s="118">
        <f t="shared" si="6"/>
        <v>0</v>
      </c>
      <c r="O77" s="117">
        <f t="shared" ref="O77:P77" si="61">M77-M76</f>
        <v>0</v>
      </c>
      <c r="P77" s="123">
        <f t="shared" si="61"/>
        <v>0</v>
      </c>
      <c r="Q77" s="121">
        <f t="shared" si="11"/>
        <v>1000000000</v>
      </c>
      <c r="R77" s="122">
        <f t="shared" si="12"/>
        <v>50</v>
      </c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spans="1:37" ht="15.75" customHeight="1" x14ac:dyDescent="0.15">
      <c r="A78" s="112">
        <f t="shared" si="7"/>
        <v>47238</v>
      </c>
      <c r="B78" s="113" t="str">
        <f t="shared" si="8"/>
        <v>T+51M</v>
      </c>
      <c r="C78" s="114"/>
      <c r="D78" s="115"/>
      <c r="E78" s="115"/>
      <c r="F78" s="115"/>
      <c r="G78" s="115"/>
      <c r="H78" s="115"/>
      <c r="I78" s="115"/>
      <c r="J78" s="115"/>
      <c r="K78" s="115"/>
      <c r="L78" s="116"/>
      <c r="M78" s="117">
        <f t="shared" si="9"/>
        <v>0</v>
      </c>
      <c r="N78" s="118">
        <f t="shared" si="6"/>
        <v>0</v>
      </c>
      <c r="O78" s="117">
        <f t="shared" ref="O78:P78" si="62">M78-M77</f>
        <v>0</v>
      </c>
      <c r="P78" s="123">
        <f t="shared" si="62"/>
        <v>0</v>
      </c>
      <c r="Q78" s="121">
        <f t="shared" si="11"/>
        <v>1000000000</v>
      </c>
      <c r="R78" s="122">
        <f t="shared" si="12"/>
        <v>51</v>
      </c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spans="1:37" ht="15.75" customHeight="1" x14ac:dyDescent="0.15">
      <c r="A79" s="112">
        <f t="shared" si="7"/>
        <v>47269</v>
      </c>
      <c r="B79" s="113" t="str">
        <f t="shared" si="8"/>
        <v>T+52M</v>
      </c>
      <c r="C79" s="114"/>
      <c r="D79" s="115"/>
      <c r="E79" s="115"/>
      <c r="F79" s="115"/>
      <c r="G79" s="115"/>
      <c r="H79" s="115"/>
      <c r="I79" s="115"/>
      <c r="J79" s="115"/>
      <c r="K79" s="115"/>
      <c r="L79" s="116"/>
      <c r="M79" s="117">
        <f t="shared" si="9"/>
        <v>0</v>
      </c>
      <c r="N79" s="118">
        <f t="shared" si="6"/>
        <v>0</v>
      </c>
      <c r="O79" s="117">
        <f t="shared" ref="O79:P79" si="63">M79-M78</f>
        <v>0</v>
      </c>
      <c r="P79" s="123">
        <f t="shared" si="63"/>
        <v>0</v>
      </c>
      <c r="Q79" s="121">
        <f t="shared" si="11"/>
        <v>1000000000</v>
      </c>
      <c r="R79" s="122">
        <f t="shared" si="12"/>
        <v>52</v>
      </c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spans="1:37" ht="15.75" customHeight="1" x14ac:dyDescent="0.15">
      <c r="A80" s="112">
        <f t="shared" si="7"/>
        <v>47299</v>
      </c>
      <c r="B80" s="113" t="str">
        <f t="shared" si="8"/>
        <v>T+53M</v>
      </c>
      <c r="C80" s="114"/>
      <c r="D80" s="115"/>
      <c r="E80" s="115"/>
      <c r="F80" s="115"/>
      <c r="G80" s="115"/>
      <c r="H80" s="115"/>
      <c r="I80" s="115"/>
      <c r="J80" s="115"/>
      <c r="K80" s="115"/>
      <c r="L80" s="116"/>
      <c r="M80" s="117">
        <f t="shared" si="9"/>
        <v>0</v>
      </c>
      <c r="N80" s="118">
        <f t="shared" si="6"/>
        <v>0</v>
      </c>
      <c r="O80" s="117">
        <f t="shared" ref="O80:P80" si="64">M80-M79</f>
        <v>0</v>
      </c>
      <c r="P80" s="123">
        <f t="shared" si="64"/>
        <v>0</v>
      </c>
      <c r="Q80" s="121">
        <f t="shared" si="11"/>
        <v>1000000000</v>
      </c>
      <c r="R80" s="122">
        <f t="shared" si="12"/>
        <v>53</v>
      </c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spans="1:37" ht="15.75" customHeight="1" x14ac:dyDescent="0.15">
      <c r="A81" s="112">
        <f t="shared" si="7"/>
        <v>47330</v>
      </c>
      <c r="B81" s="113" t="str">
        <f t="shared" si="8"/>
        <v>T+54M</v>
      </c>
      <c r="C81" s="114"/>
      <c r="D81" s="115"/>
      <c r="E81" s="115"/>
      <c r="F81" s="115"/>
      <c r="G81" s="115"/>
      <c r="H81" s="115"/>
      <c r="I81" s="115"/>
      <c r="J81" s="115"/>
      <c r="K81" s="115"/>
      <c r="L81" s="116"/>
      <c r="M81" s="117">
        <f t="shared" si="9"/>
        <v>0</v>
      </c>
      <c r="N81" s="118">
        <f t="shared" si="6"/>
        <v>0</v>
      </c>
      <c r="O81" s="117">
        <f t="shared" ref="O81:P81" si="65">M81-M80</f>
        <v>0</v>
      </c>
      <c r="P81" s="123">
        <f t="shared" si="65"/>
        <v>0</v>
      </c>
      <c r="Q81" s="121">
        <f t="shared" si="11"/>
        <v>1000000000</v>
      </c>
      <c r="R81" s="122">
        <f t="shared" si="12"/>
        <v>54</v>
      </c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spans="1:37" ht="15.75" customHeight="1" x14ac:dyDescent="0.15">
      <c r="A82" s="112">
        <f t="shared" si="7"/>
        <v>47361</v>
      </c>
      <c r="B82" s="113" t="str">
        <f t="shared" si="8"/>
        <v>T+55M</v>
      </c>
      <c r="C82" s="114"/>
      <c r="D82" s="115"/>
      <c r="E82" s="115"/>
      <c r="F82" s="115"/>
      <c r="G82" s="115"/>
      <c r="H82" s="115"/>
      <c r="I82" s="115"/>
      <c r="J82" s="115"/>
      <c r="K82" s="115"/>
      <c r="L82" s="116"/>
      <c r="M82" s="117">
        <f t="shared" si="9"/>
        <v>0</v>
      </c>
      <c r="N82" s="118">
        <f t="shared" si="6"/>
        <v>0</v>
      </c>
      <c r="O82" s="117">
        <f t="shared" ref="O82:P82" si="66">M82-M81</f>
        <v>0</v>
      </c>
      <c r="P82" s="123">
        <f t="shared" si="66"/>
        <v>0</v>
      </c>
      <c r="Q82" s="121">
        <f t="shared" si="11"/>
        <v>1000000000</v>
      </c>
      <c r="R82" s="122">
        <f t="shared" si="12"/>
        <v>55</v>
      </c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spans="1:37" ht="15.75" customHeight="1" x14ac:dyDescent="0.15">
      <c r="A83" s="112">
        <f t="shared" si="7"/>
        <v>47391</v>
      </c>
      <c r="B83" s="113" t="str">
        <f t="shared" si="8"/>
        <v>T+56M</v>
      </c>
      <c r="C83" s="114"/>
      <c r="D83" s="115"/>
      <c r="E83" s="115"/>
      <c r="F83" s="115"/>
      <c r="G83" s="115"/>
      <c r="H83" s="115"/>
      <c r="I83" s="115"/>
      <c r="J83" s="115"/>
      <c r="K83" s="115"/>
      <c r="L83" s="116"/>
      <c r="M83" s="117">
        <f t="shared" si="9"/>
        <v>0</v>
      </c>
      <c r="N83" s="118">
        <f t="shared" si="6"/>
        <v>0</v>
      </c>
      <c r="O83" s="117">
        <f t="shared" ref="O83:P83" si="67">M83-M82</f>
        <v>0</v>
      </c>
      <c r="P83" s="123">
        <f t="shared" si="67"/>
        <v>0</v>
      </c>
      <c r="Q83" s="121">
        <f t="shared" si="11"/>
        <v>1000000000</v>
      </c>
      <c r="R83" s="122">
        <f t="shared" si="12"/>
        <v>56</v>
      </c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spans="1:37" ht="15.75" customHeight="1" x14ac:dyDescent="0.15">
      <c r="A84" s="112">
        <f t="shared" si="7"/>
        <v>47422</v>
      </c>
      <c r="B84" s="113" t="str">
        <f t="shared" si="8"/>
        <v>T+57M</v>
      </c>
      <c r="C84" s="114"/>
      <c r="D84" s="115"/>
      <c r="E84" s="115"/>
      <c r="F84" s="115"/>
      <c r="G84" s="115"/>
      <c r="H84" s="115"/>
      <c r="I84" s="115"/>
      <c r="J84" s="115"/>
      <c r="K84" s="115"/>
      <c r="L84" s="116"/>
      <c r="M84" s="117">
        <f t="shared" si="9"/>
        <v>0</v>
      </c>
      <c r="N84" s="118">
        <f t="shared" si="6"/>
        <v>0</v>
      </c>
      <c r="O84" s="117">
        <f t="shared" ref="O84:P84" si="68">M84-M83</f>
        <v>0</v>
      </c>
      <c r="P84" s="123">
        <f t="shared" si="68"/>
        <v>0</v>
      </c>
      <c r="Q84" s="121">
        <f t="shared" si="11"/>
        <v>1000000000</v>
      </c>
      <c r="R84" s="122">
        <f t="shared" si="12"/>
        <v>57</v>
      </c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spans="1:37" ht="15.75" customHeight="1" x14ac:dyDescent="0.15">
      <c r="A85" s="112">
        <f t="shared" si="7"/>
        <v>47452</v>
      </c>
      <c r="B85" s="113" t="str">
        <f t="shared" si="8"/>
        <v>T+58M</v>
      </c>
      <c r="C85" s="114"/>
      <c r="D85" s="115"/>
      <c r="E85" s="115"/>
      <c r="F85" s="115"/>
      <c r="G85" s="115"/>
      <c r="H85" s="115"/>
      <c r="I85" s="115"/>
      <c r="J85" s="115"/>
      <c r="K85" s="115"/>
      <c r="L85" s="116"/>
      <c r="M85" s="117">
        <f t="shared" si="9"/>
        <v>0</v>
      </c>
      <c r="N85" s="118">
        <f t="shared" si="6"/>
        <v>0</v>
      </c>
      <c r="O85" s="117">
        <f t="shared" ref="O85:P85" si="69">M85-M84</f>
        <v>0</v>
      </c>
      <c r="P85" s="123">
        <f t="shared" si="69"/>
        <v>0</v>
      </c>
      <c r="Q85" s="121">
        <f t="shared" si="11"/>
        <v>1000000000</v>
      </c>
      <c r="R85" s="122">
        <f t="shared" si="12"/>
        <v>58</v>
      </c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spans="1:37" ht="15.75" customHeight="1" x14ac:dyDescent="0.15">
      <c r="A86" s="112">
        <f t="shared" si="7"/>
        <v>47483</v>
      </c>
      <c r="B86" s="113" t="str">
        <f t="shared" si="8"/>
        <v>T+59M</v>
      </c>
      <c r="C86" s="114"/>
      <c r="D86" s="115"/>
      <c r="E86" s="115"/>
      <c r="F86" s="115"/>
      <c r="G86" s="115"/>
      <c r="H86" s="115"/>
      <c r="I86" s="115"/>
      <c r="J86" s="115"/>
      <c r="K86" s="115"/>
      <c r="L86" s="116"/>
      <c r="M86" s="117">
        <f t="shared" si="9"/>
        <v>0</v>
      </c>
      <c r="N86" s="118">
        <f t="shared" si="6"/>
        <v>0</v>
      </c>
      <c r="O86" s="117">
        <f t="shared" ref="O86:P86" si="70">M86-M85</f>
        <v>0</v>
      </c>
      <c r="P86" s="123">
        <f t="shared" si="70"/>
        <v>0</v>
      </c>
      <c r="Q86" s="121">
        <f t="shared" si="11"/>
        <v>1000000000</v>
      </c>
      <c r="R86" s="122">
        <f t="shared" si="12"/>
        <v>59</v>
      </c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spans="1:37" ht="15.75" customHeight="1" x14ac:dyDescent="0.15">
      <c r="A87" s="112">
        <f t="shared" si="7"/>
        <v>47514</v>
      </c>
      <c r="B87" s="113" t="str">
        <f t="shared" si="8"/>
        <v>T+60M</v>
      </c>
      <c r="C87" s="114"/>
      <c r="D87" s="115"/>
      <c r="E87" s="115"/>
      <c r="F87" s="115"/>
      <c r="G87" s="115"/>
      <c r="H87" s="115"/>
      <c r="I87" s="115"/>
      <c r="J87" s="115"/>
      <c r="K87" s="115"/>
      <c r="L87" s="116"/>
      <c r="M87" s="117">
        <f t="shared" si="9"/>
        <v>0</v>
      </c>
      <c r="N87" s="118">
        <f t="shared" si="6"/>
        <v>0</v>
      </c>
      <c r="O87" s="117">
        <f t="shared" ref="O87:P87" si="71">M87-M86</f>
        <v>0</v>
      </c>
      <c r="P87" s="123">
        <f t="shared" si="71"/>
        <v>0</v>
      </c>
      <c r="Q87" s="121">
        <f t="shared" si="11"/>
        <v>1000000000</v>
      </c>
      <c r="R87" s="122">
        <f t="shared" si="12"/>
        <v>60</v>
      </c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spans="1:37" ht="15.75" customHeight="1" x14ac:dyDescent="0.15">
      <c r="A88" s="112">
        <f t="shared" si="7"/>
        <v>47542</v>
      </c>
      <c r="B88" s="113" t="str">
        <f t="shared" si="8"/>
        <v>T+61M</v>
      </c>
      <c r="C88" s="114"/>
      <c r="D88" s="115"/>
      <c r="E88" s="115"/>
      <c r="F88" s="115"/>
      <c r="G88" s="115"/>
      <c r="H88" s="115"/>
      <c r="I88" s="115"/>
      <c r="J88" s="115"/>
      <c r="K88" s="115"/>
      <c r="L88" s="116"/>
      <c r="M88" s="117">
        <f t="shared" si="9"/>
        <v>0</v>
      </c>
      <c r="N88" s="118">
        <f t="shared" si="6"/>
        <v>0</v>
      </c>
      <c r="O88" s="117">
        <f t="shared" ref="O88:P88" si="72">M88-M87</f>
        <v>0</v>
      </c>
      <c r="P88" s="123">
        <f t="shared" si="72"/>
        <v>0</v>
      </c>
      <c r="Q88" s="121">
        <f t="shared" si="11"/>
        <v>1000000000</v>
      </c>
      <c r="R88" s="122">
        <f t="shared" si="12"/>
        <v>61</v>
      </c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spans="1:37" ht="15.75" customHeight="1" x14ac:dyDescent="0.15">
      <c r="A89" s="112">
        <f t="shared" si="7"/>
        <v>47573</v>
      </c>
      <c r="B89" s="113" t="str">
        <f t="shared" si="8"/>
        <v>T+62M</v>
      </c>
      <c r="C89" s="114"/>
      <c r="D89" s="115"/>
      <c r="E89" s="115"/>
      <c r="F89" s="115"/>
      <c r="G89" s="115"/>
      <c r="H89" s="115"/>
      <c r="I89" s="115"/>
      <c r="J89" s="115"/>
      <c r="K89" s="115"/>
      <c r="L89" s="116"/>
      <c r="M89" s="117">
        <f t="shared" si="9"/>
        <v>0</v>
      </c>
      <c r="N89" s="118">
        <f t="shared" si="6"/>
        <v>0</v>
      </c>
      <c r="O89" s="117">
        <f t="shared" ref="O89:P89" si="73">M89-M88</f>
        <v>0</v>
      </c>
      <c r="P89" s="123">
        <f t="shared" si="73"/>
        <v>0</v>
      </c>
      <c r="Q89" s="121">
        <f t="shared" si="11"/>
        <v>1000000000</v>
      </c>
      <c r="R89" s="122">
        <f t="shared" si="12"/>
        <v>62</v>
      </c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spans="1:37" ht="15.75" customHeight="1" x14ac:dyDescent="0.15">
      <c r="A90" s="112">
        <f t="shared" si="7"/>
        <v>47603</v>
      </c>
      <c r="B90" s="113" t="str">
        <f t="shared" si="8"/>
        <v>T+63M</v>
      </c>
      <c r="C90" s="114"/>
      <c r="D90" s="115"/>
      <c r="E90" s="115"/>
      <c r="F90" s="115"/>
      <c r="G90" s="115"/>
      <c r="H90" s="115"/>
      <c r="I90" s="115"/>
      <c r="J90" s="115"/>
      <c r="K90" s="115"/>
      <c r="L90" s="116"/>
      <c r="M90" s="117">
        <f t="shared" si="9"/>
        <v>0</v>
      </c>
      <c r="N90" s="118">
        <f t="shared" si="6"/>
        <v>0</v>
      </c>
      <c r="O90" s="117">
        <f t="shared" ref="O90:P90" si="74">M90-M89</f>
        <v>0</v>
      </c>
      <c r="P90" s="123">
        <f t="shared" si="74"/>
        <v>0</v>
      </c>
      <c r="Q90" s="121">
        <f t="shared" si="11"/>
        <v>1000000000</v>
      </c>
      <c r="R90" s="122">
        <f t="shared" si="12"/>
        <v>63</v>
      </c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spans="1:37" ht="15.75" customHeight="1" x14ac:dyDescent="0.15">
      <c r="A91" s="113" t="s">
        <v>64</v>
      </c>
      <c r="B91" s="113" t="str">
        <f t="shared" si="8"/>
        <v>T+64M</v>
      </c>
      <c r="C91" s="114"/>
      <c r="D91" s="115"/>
      <c r="E91" s="115"/>
      <c r="F91" s="115"/>
      <c r="G91" s="115"/>
      <c r="H91" s="115"/>
      <c r="I91" s="115"/>
      <c r="J91" s="115"/>
      <c r="K91" s="115"/>
      <c r="L91" s="116"/>
      <c r="M91" s="117">
        <f t="shared" si="9"/>
        <v>0</v>
      </c>
      <c r="N91" s="118">
        <f t="shared" si="6"/>
        <v>0</v>
      </c>
      <c r="O91" s="117">
        <f t="shared" ref="O91:P91" si="75">M91-M90</f>
        <v>0</v>
      </c>
      <c r="P91" s="123">
        <f t="shared" si="75"/>
        <v>0</v>
      </c>
      <c r="Q91" s="121">
        <f t="shared" si="11"/>
        <v>1000000000</v>
      </c>
      <c r="R91" s="122">
        <f t="shared" si="12"/>
        <v>64</v>
      </c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spans="1:37" ht="15.75" customHeight="1" x14ac:dyDescent="0.15">
      <c r="A92" s="112" t="e">
        <f t="shared" ref="A92:A111" si="76">EOMONTH(A91,1)</f>
        <v>#VALUE!</v>
      </c>
      <c r="B92" s="113" t="str">
        <f t="shared" si="8"/>
        <v>T+65M</v>
      </c>
      <c r="C92" s="114"/>
      <c r="D92" s="115"/>
      <c r="E92" s="115"/>
      <c r="F92" s="115"/>
      <c r="G92" s="115"/>
      <c r="H92" s="115"/>
      <c r="I92" s="115"/>
      <c r="J92" s="115"/>
      <c r="K92" s="115"/>
      <c r="L92" s="116"/>
      <c r="M92" s="117">
        <f t="shared" ref="M92:M112" si="77">SUM(C92:L92)+M91</f>
        <v>0</v>
      </c>
      <c r="N92" s="118">
        <f t="shared" si="6"/>
        <v>0</v>
      </c>
      <c r="O92" s="117">
        <f t="shared" ref="O92:P92" si="78">M92-M91</f>
        <v>0</v>
      </c>
      <c r="P92" s="123">
        <f t="shared" si="78"/>
        <v>0</v>
      </c>
      <c r="Q92" s="121">
        <f t="shared" si="11"/>
        <v>1000000000</v>
      </c>
      <c r="R92" s="122">
        <f t="shared" si="12"/>
        <v>65</v>
      </c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 ht="15.75" customHeight="1" x14ac:dyDescent="0.15">
      <c r="A93" s="112" t="e">
        <f t="shared" si="76"/>
        <v>#VALUE!</v>
      </c>
      <c r="B93" s="113" t="str">
        <f t="shared" si="8"/>
        <v>T+66M</v>
      </c>
      <c r="C93" s="114"/>
      <c r="D93" s="115"/>
      <c r="E93" s="115"/>
      <c r="F93" s="115"/>
      <c r="G93" s="115"/>
      <c r="H93" s="115"/>
      <c r="I93" s="115"/>
      <c r="J93" s="115"/>
      <c r="K93" s="115"/>
      <c r="L93" s="116"/>
      <c r="M93" s="117">
        <f t="shared" si="77"/>
        <v>0</v>
      </c>
      <c r="N93" s="118">
        <f t="shared" si="6"/>
        <v>0</v>
      </c>
      <c r="O93" s="117">
        <f t="shared" ref="O93:P93" si="79">M93-M92</f>
        <v>0</v>
      </c>
      <c r="P93" s="123">
        <f t="shared" si="79"/>
        <v>0</v>
      </c>
      <c r="Q93" s="121">
        <f t="shared" si="11"/>
        <v>1000000000</v>
      </c>
      <c r="R93" s="122">
        <f t="shared" si="12"/>
        <v>66</v>
      </c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spans="1:37" ht="15.75" customHeight="1" x14ac:dyDescent="0.15">
      <c r="A94" s="112" t="e">
        <f t="shared" si="76"/>
        <v>#VALUE!</v>
      </c>
      <c r="B94" s="113" t="str">
        <f t="shared" si="8"/>
        <v>T+67M</v>
      </c>
      <c r="C94" s="114"/>
      <c r="D94" s="115"/>
      <c r="E94" s="115"/>
      <c r="F94" s="115"/>
      <c r="G94" s="115"/>
      <c r="H94" s="115"/>
      <c r="I94" s="115"/>
      <c r="J94" s="115"/>
      <c r="K94" s="115"/>
      <c r="L94" s="116"/>
      <c r="M94" s="117">
        <f t="shared" si="77"/>
        <v>0</v>
      </c>
      <c r="N94" s="118">
        <f t="shared" si="6"/>
        <v>0</v>
      </c>
      <c r="O94" s="117">
        <f t="shared" ref="O94:P94" si="80">M94-M93</f>
        <v>0</v>
      </c>
      <c r="P94" s="123">
        <f t="shared" si="80"/>
        <v>0</v>
      </c>
      <c r="Q94" s="121">
        <f t="shared" si="11"/>
        <v>1000000000</v>
      </c>
      <c r="R94" s="122">
        <f t="shared" si="12"/>
        <v>67</v>
      </c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spans="1:37" ht="15.75" customHeight="1" x14ac:dyDescent="0.15">
      <c r="A95" s="112" t="e">
        <f t="shared" si="76"/>
        <v>#VALUE!</v>
      </c>
      <c r="B95" s="113" t="str">
        <f t="shared" si="8"/>
        <v>T+68M</v>
      </c>
      <c r="C95" s="114"/>
      <c r="D95" s="115"/>
      <c r="E95" s="115"/>
      <c r="F95" s="115"/>
      <c r="G95" s="115"/>
      <c r="H95" s="115"/>
      <c r="I95" s="115"/>
      <c r="J95" s="115"/>
      <c r="K95" s="115"/>
      <c r="L95" s="116"/>
      <c r="M95" s="117">
        <f t="shared" si="77"/>
        <v>0</v>
      </c>
      <c r="N95" s="118">
        <f t="shared" si="6"/>
        <v>0</v>
      </c>
      <c r="O95" s="117">
        <f t="shared" ref="O95:P95" si="81">M95-M94</f>
        <v>0</v>
      </c>
      <c r="P95" s="123">
        <f t="shared" si="81"/>
        <v>0</v>
      </c>
      <c r="Q95" s="121">
        <f t="shared" si="11"/>
        <v>1000000000</v>
      </c>
      <c r="R95" s="122">
        <f t="shared" si="12"/>
        <v>68</v>
      </c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spans="1:37" ht="15.75" customHeight="1" x14ac:dyDescent="0.15">
      <c r="A96" s="112" t="e">
        <f t="shared" si="76"/>
        <v>#VALUE!</v>
      </c>
      <c r="B96" s="113" t="str">
        <f t="shared" si="8"/>
        <v>T+69M</v>
      </c>
      <c r="C96" s="114"/>
      <c r="D96" s="115"/>
      <c r="E96" s="115"/>
      <c r="F96" s="115"/>
      <c r="G96" s="115"/>
      <c r="H96" s="115"/>
      <c r="I96" s="115"/>
      <c r="J96" s="115"/>
      <c r="K96" s="115"/>
      <c r="L96" s="116"/>
      <c r="M96" s="117">
        <f t="shared" si="77"/>
        <v>0</v>
      </c>
      <c r="N96" s="118">
        <f t="shared" si="6"/>
        <v>0</v>
      </c>
      <c r="O96" s="117">
        <f t="shared" ref="O96:P96" si="82">M96-M95</f>
        <v>0</v>
      </c>
      <c r="P96" s="123">
        <f t="shared" si="82"/>
        <v>0</v>
      </c>
      <c r="Q96" s="121">
        <f t="shared" si="11"/>
        <v>1000000000</v>
      </c>
      <c r="R96" s="122">
        <f t="shared" si="12"/>
        <v>69</v>
      </c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spans="1:37" ht="15.75" customHeight="1" x14ac:dyDescent="0.15">
      <c r="A97" s="112" t="e">
        <f t="shared" si="76"/>
        <v>#VALUE!</v>
      </c>
      <c r="B97" s="113" t="str">
        <f t="shared" si="8"/>
        <v>T+70M</v>
      </c>
      <c r="C97" s="114"/>
      <c r="D97" s="115"/>
      <c r="E97" s="115"/>
      <c r="F97" s="115"/>
      <c r="G97" s="115"/>
      <c r="H97" s="115"/>
      <c r="I97" s="115"/>
      <c r="J97" s="115"/>
      <c r="K97" s="115"/>
      <c r="L97" s="116"/>
      <c r="M97" s="117">
        <f t="shared" si="77"/>
        <v>0</v>
      </c>
      <c r="N97" s="118">
        <f t="shared" si="6"/>
        <v>0</v>
      </c>
      <c r="O97" s="117">
        <f t="shared" ref="O97:P97" si="83">M97-M96</f>
        <v>0</v>
      </c>
      <c r="P97" s="123">
        <f t="shared" si="83"/>
        <v>0</v>
      </c>
      <c r="Q97" s="121">
        <f t="shared" si="11"/>
        <v>1000000000</v>
      </c>
      <c r="R97" s="122">
        <f t="shared" si="12"/>
        <v>70</v>
      </c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spans="1:37" ht="15.75" customHeight="1" x14ac:dyDescent="0.15">
      <c r="A98" s="112" t="e">
        <f t="shared" si="76"/>
        <v>#VALUE!</v>
      </c>
      <c r="B98" s="113" t="str">
        <f t="shared" si="8"/>
        <v>T+71M</v>
      </c>
      <c r="C98" s="114"/>
      <c r="D98" s="115"/>
      <c r="E98" s="115"/>
      <c r="F98" s="115"/>
      <c r="G98" s="115"/>
      <c r="H98" s="115"/>
      <c r="I98" s="115"/>
      <c r="J98" s="115"/>
      <c r="K98" s="115"/>
      <c r="L98" s="116"/>
      <c r="M98" s="117">
        <f t="shared" si="77"/>
        <v>0</v>
      </c>
      <c r="N98" s="118">
        <f t="shared" si="6"/>
        <v>0</v>
      </c>
      <c r="O98" s="117">
        <f t="shared" ref="O98:P98" si="84">M98-M97</f>
        <v>0</v>
      </c>
      <c r="P98" s="123">
        <f t="shared" si="84"/>
        <v>0</v>
      </c>
      <c r="Q98" s="121">
        <f t="shared" si="11"/>
        <v>1000000000</v>
      </c>
      <c r="R98" s="122">
        <f t="shared" si="12"/>
        <v>71</v>
      </c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1:37" ht="15.75" customHeight="1" x14ac:dyDescent="0.15">
      <c r="A99" s="112" t="e">
        <f t="shared" si="76"/>
        <v>#VALUE!</v>
      </c>
      <c r="B99" s="113" t="str">
        <f t="shared" si="8"/>
        <v>T+72M</v>
      </c>
      <c r="C99" s="114"/>
      <c r="D99" s="115"/>
      <c r="E99" s="115"/>
      <c r="F99" s="115"/>
      <c r="G99" s="115"/>
      <c r="H99" s="115"/>
      <c r="I99" s="115"/>
      <c r="J99" s="115"/>
      <c r="K99" s="115"/>
      <c r="L99" s="116"/>
      <c r="M99" s="117">
        <f t="shared" si="77"/>
        <v>0</v>
      </c>
      <c r="N99" s="118">
        <f t="shared" si="6"/>
        <v>0</v>
      </c>
      <c r="O99" s="117">
        <f t="shared" ref="O99:P99" si="85">M99-M98</f>
        <v>0</v>
      </c>
      <c r="P99" s="123">
        <f t="shared" si="85"/>
        <v>0</v>
      </c>
      <c r="Q99" s="121">
        <f t="shared" si="11"/>
        <v>1000000000</v>
      </c>
      <c r="R99" s="122">
        <f t="shared" si="12"/>
        <v>72</v>
      </c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 ht="15.75" customHeight="1" x14ac:dyDescent="0.15">
      <c r="A100" s="112" t="e">
        <f t="shared" si="76"/>
        <v>#VALUE!</v>
      </c>
      <c r="B100" s="113" t="str">
        <f t="shared" si="8"/>
        <v>T+73M</v>
      </c>
      <c r="C100" s="114"/>
      <c r="D100" s="115"/>
      <c r="E100" s="115"/>
      <c r="F100" s="115"/>
      <c r="G100" s="115"/>
      <c r="H100" s="115"/>
      <c r="I100" s="115"/>
      <c r="J100" s="115"/>
      <c r="K100" s="115"/>
      <c r="L100" s="116"/>
      <c r="M100" s="117">
        <f t="shared" si="77"/>
        <v>0</v>
      </c>
      <c r="N100" s="118">
        <f t="shared" si="6"/>
        <v>0</v>
      </c>
      <c r="O100" s="117">
        <f t="shared" ref="O100:P100" si="86">M100-M99</f>
        <v>0</v>
      </c>
      <c r="P100" s="123">
        <f t="shared" si="86"/>
        <v>0</v>
      </c>
      <c r="Q100" s="121">
        <f t="shared" si="11"/>
        <v>1000000000</v>
      </c>
      <c r="R100" s="122">
        <f t="shared" si="12"/>
        <v>73</v>
      </c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spans="1:37" ht="15.75" customHeight="1" x14ac:dyDescent="0.15">
      <c r="A101" s="112" t="e">
        <f t="shared" si="76"/>
        <v>#VALUE!</v>
      </c>
      <c r="B101" s="113" t="str">
        <f t="shared" si="8"/>
        <v>T+74M</v>
      </c>
      <c r="C101" s="114"/>
      <c r="D101" s="115"/>
      <c r="E101" s="115"/>
      <c r="F101" s="115"/>
      <c r="G101" s="115"/>
      <c r="H101" s="115"/>
      <c r="I101" s="115"/>
      <c r="J101" s="115"/>
      <c r="K101" s="115"/>
      <c r="L101" s="116"/>
      <c r="M101" s="117">
        <f t="shared" si="77"/>
        <v>0</v>
      </c>
      <c r="N101" s="118">
        <f t="shared" si="6"/>
        <v>0</v>
      </c>
      <c r="O101" s="117">
        <f t="shared" ref="O101:P101" si="87">M101-M100</f>
        <v>0</v>
      </c>
      <c r="P101" s="123">
        <f t="shared" si="87"/>
        <v>0</v>
      </c>
      <c r="Q101" s="121">
        <f t="shared" si="11"/>
        <v>1000000000</v>
      </c>
      <c r="R101" s="122">
        <f t="shared" si="12"/>
        <v>74</v>
      </c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spans="1:37" ht="15.75" customHeight="1" x14ac:dyDescent="0.15">
      <c r="A102" s="112" t="e">
        <f t="shared" si="76"/>
        <v>#VALUE!</v>
      </c>
      <c r="B102" s="113" t="str">
        <f t="shared" si="8"/>
        <v>T+75M</v>
      </c>
      <c r="C102" s="114"/>
      <c r="D102" s="115"/>
      <c r="E102" s="115"/>
      <c r="F102" s="115"/>
      <c r="G102" s="115"/>
      <c r="H102" s="115"/>
      <c r="I102" s="115"/>
      <c r="J102" s="115"/>
      <c r="K102" s="115"/>
      <c r="L102" s="116"/>
      <c r="M102" s="117">
        <f t="shared" si="77"/>
        <v>0</v>
      </c>
      <c r="N102" s="118">
        <f t="shared" si="6"/>
        <v>0</v>
      </c>
      <c r="O102" s="117">
        <f t="shared" ref="O102:P102" si="88">M102-M101</f>
        <v>0</v>
      </c>
      <c r="P102" s="123">
        <f t="shared" si="88"/>
        <v>0</v>
      </c>
      <c r="Q102" s="121">
        <f t="shared" si="11"/>
        <v>1000000000</v>
      </c>
      <c r="R102" s="122">
        <f t="shared" si="12"/>
        <v>75</v>
      </c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spans="1:37" ht="15.75" customHeight="1" x14ac:dyDescent="0.15">
      <c r="A103" s="112" t="e">
        <f t="shared" si="76"/>
        <v>#VALUE!</v>
      </c>
      <c r="B103" s="113" t="str">
        <f t="shared" si="8"/>
        <v>T+76M</v>
      </c>
      <c r="C103" s="114"/>
      <c r="D103" s="115"/>
      <c r="E103" s="115"/>
      <c r="F103" s="115"/>
      <c r="G103" s="115"/>
      <c r="H103" s="115"/>
      <c r="I103" s="115"/>
      <c r="J103" s="115"/>
      <c r="K103" s="115"/>
      <c r="L103" s="116"/>
      <c r="M103" s="117">
        <f t="shared" si="77"/>
        <v>0</v>
      </c>
      <c r="N103" s="118">
        <f t="shared" si="6"/>
        <v>0</v>
      </c>
      <c r="O103" s="117">
        <f t="shared" ref="O103:P103" si="89">M103-M102</f>
        <v>0</v>
      </c>
      <c r="P103" s="123">
        <f t="shared" si="89"/>
        <v>0</v>
      </c>
      <c r="Q103" s="121">
        <f t="shared" si="11"/>
        <v>1000000000</v>
      </c>
      <c r="R103" s="122">
        <f t="shared" si="12"/>
        <v>76</v>
      </c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spans="1:37" ht="15.75" customHeight="1" x14ac:dyDescent="0.15">
      <c r="A104" s="112" t="e">
        <f t="shared" si="76"/>
        <v>#VALUE!</v>
      </c>
      <c r="B104" s="113" t="str">
        <f t="shared" si="8"/>
        <v>T+77M</v>
      </c>
      <c r="C104" s="114"/>
      <c r="D104" s="115"/>
      <c r="E104" s="115"/>
      <c r="F104" s="115"/>
      <c r="G104" s="115"/>
      <c r="H104" s="115"/>
      <c r="I104" s="115"/>
      <c r="J104" s="115"/>
      <c r="K104" s="115"/>
      <c r="L104" s="116"/>
      <c r="M104" s="117">
        <f t="shared" si="77"/>
        <v>0</v>
      </c>
      <c r="N104" s="118">
        <f t="shared" si="6"/>
        <v>0</v>
      </c>
      <c r="O104" s="117">
        <f t="shared" ref="O104:P104" si="90">M104-M103</f>
        <v>0</v>
      </c>
      <c r="P104" s="123">
        <f t="shared" si="90"/>
        <v>0</v>
      </c>
      <c r="Q104" s="121">
        <f t="shared" si="11"/>
        <v>1000000000</v>
      </c>
      <c r="R104" s="122">
        <f t="shared" si="12"/>
        <v>77</v>
      </c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spans="1:37" ht="15.75" customHeight="1" x14ac:dyDescent="0.15">
      <c r="A105" s="112" t="e">
        <f t="shared" si="76"/>
        <v>#VALUE!</v>
      </c>
      <c r="B105" s="113" t="str">
        <f t="shared" si="8"/>
        <v>T+78M</v>
      </c>
      <c r="C105" s="114"/>
      <c r="D105" s="115"/>
      <c r="E105" s="115"/>
      <c r="F105" s="115"/>
      <c r="G105" s="115"/>
      <c r="H105" s="115"/>
      <c r="I105" s="115"/>
      <c r="J105" s="115"/>
      <c r="K105" s="115"/>
      <c r="L105" s="116"/>
      <c r="M105" s="117">
        <f t="shared" si="77"/>
        <v>0</v>
      </c>
      <c r="N105" s="118">
        <f t="shared" si="6"/>
        <v>0</v>
      </c>
      <c r="O105" s="117">
        <f t="shared" ref="O105:P105" si="91">M105-M104</f>
        <v>0</v>
      </c>
      <c r="P105" s="123">
        <f t="shared" si="91"/>
        <v>0</v>
      </c>
      <c r="Q105" s="121">
        <f t="shared" si="11"/>
        <v>1000000000</v>
      </c>
      <c r="R105" s="122">
        <f t="shared" si="12"/>
        <v>78</v>
      </c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spans="1:37" ht="15.75" customHeight="1" x14ac:dyDescent="0.15">
      <c r="A106" s="112" t="e">
        <f t="shared" si="76"/>
        <v>#VALUE!</v>
      </c>
      <c r="B106" s="113" t="str">
        <f t="shared" si="8"/>
        <v>T+79M</v>
      </c>
      <c r="C106" s="114"/>
      <c r="D106" s="115"/>
      <c r="E106" s="115"/>
      <c r="F106" s="115"/>
      <c r="G106" s="115"/>
      <c r="H106" s="115"/>
      <c r="I106" s="115"/>
      <c r="J106" s="115"/>
      <c r="K106" s="115"/>
      <c r="L106" s="116"/>
      <c r="M106" s="117">
        <f t="shared" si="77"/>
        <v>0</v>
      </c>
      <c r="N106" s="118">
        <f t="shared" si="6"/>
        <v>0</v>
      </c>
      <c r="O106" s="117">
        <f t="shared" ref="O106:P106" si="92">M106-M105</f>
        <v>0</v>
      </c>
      <c r="P106" s="123">
        <f t="shared" si="92"/>
        <v>0</v>
      </c>
      <c r="Q106" s="121">
        <f t="shared" si="11"/>
        <v>1000000000</v>
      </c>
      <c r="R106" s="122">
        <f t="shared" si="12"/>
        <v>79</v>
      </c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spans="1:37" ht="15.75" customHeight="1" x14ac:dyDescent="0.15">
      <c r="A107" s="112" t="e">
        <f t="shared" si="76"/>
        <v>#VALUE!</v>
      </c>
      <c r="B107" s="113" t="str">
        <f t="shared" si="8"/>
        <v>T+80M</v>
      </c>
      <c r="C107" s="114"/>
      <c r="D107" s="115"/>
      <c r="E107" s="115"/>
      <c r="F107" s="115"/>
      <c r="G107" s="115"/>
      <c r="H107" s="115"/>
      <c r="I107" s="115"/>
      <c r="J107" s="115"/>
      <c r="K107" s="115"/>
      <c r="L107" s="116"/>
      <c r="M107" s="117">
        <f t="shared" si="77"/>
        <v>0</v>
      </c>
      <c r="N107" s="118">
        <f t="shared" si="6"/>
        <v>0</v>
      </c>
      <c r="O107" s="117">
        <f t="shared" ref="O107:P107" si="93">M107-M106</f>
        <v>0</v>
      </c>
      <c r="P107" s="123">
        <f t="shared" si="93"/>
        <v>0</v>
      </c>
      <c r="Q107" s="121">
        <f t="shared" si="11"/>
        <v>1000000000</v>
      </c>
      <c r="R107" s="122">
        <f t="shared" si="12"/>
        <v>80</v>
      </c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spans="1:37" ht="15.75" customHeight="1" x14ac:dyDescent="0.15">
      <c r="A108" s="112" t="e">
        <f t="shared" si="76"/>
        <v>#VALUE!</v>
      </c>
      <c r="B108" s="113" t="str">
        <f t="shared" si="8"/>
        <v>T+81M</v>
      </c>
      <c r="C108" s="114"/>
      <c r="D108" s="115"/>
      <c r="E108" s="115"/>
      <c r="F108" s="115"/>
      <c r="G108" s="115"/>
      <c r="H108" s="115"/>
      <c r="I108" s="115"/>
      <c r="J108" s="115"/>
      <c r="K108" s="115"/>
      <c r="L108" s="116"/>
      <c r="M108" s="117">
        <f t="shared" si="77"/>
        <v>0</v>
      </c>
      <c r="N108" s="118">
        <f t="shared" si="6"/>
        <v>0</v>
      </c>
      <c r="O108" s="117">
        <f t="shared" ref="O108:P108" si="94">M108-M107</f>
        <v>0</v>
      </c>
      <c r="P108" s="123">
        <f t="shared" si="94"/>
        <v>0</v>
      </c>
      <c r="Q108" s="121">
        <f t="shared" si="11"/>
        <v>1000000000</v>
      </c>
      <c r="R108" s="122">
        <f t="shared" si="12"/>
        <v>81</v>
      </c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spans="1:37" ht="15.75" customHeight="1" x14ac:dyDescent="0.15">
      <c r="A109" s="112" t="e">
        <f t="shared" si="76"/>
        <v>#VALUE!</v>
      </c>
      <c r="B109" s="113" t="str">
        <f t="shared" si="8"/>
        <v>T+82M</v>
      </c>
      <c r="C109" s="114"/>
      <c r="D109" s="115"/>
      <c r="E109" s="115"/>
      <c r="F109" s="115"/>
      <c r="G109" s="115"/>
      <c r="H109" s="115"/>
      <c r="I109" s="115"/>
      <c r="J109" s="115"/>
      <c r="K109" s="115"/>
      <c r="L109" s="116"/>
      <c r="M109" s="117">
        <f t="shared" si="77"/>
        <v>0</v>
      </c>
      <c r="N109" s="118">
        <f t="shared" si="6"/>
        <v>0</v>
      </c>
      <c r="O109" s="117">
        <f t="shared" ref="O109:P109" si="95">M109-M108</f>
        <v>0</v>
      </c>
      <c r="P109" s="123">
        <f t="shared" si="95"/>
        <v>0</v>
      </c>
      <c r="Q109" s="121">
        <f t="shared" si="11"/>
        <v>1000000000</v>
      </c>
      <c r="R109" s="122">
        <f t="shared" si="12"/>
        <v>82</v>
      </c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:37" ht="15.75" customHeight="1" x14ac:dyDescent="0.15">
      <c r="A110" s="112" t="e">
        <f t="shared" si="76"/>
        <v>#VALUE!</v>
      </c>
      <c r="B110" s="113" t="str">
        <f t="shared" si="8"/>
        <v>T+83M</v>
      </c>
      <c r="C110" s="114"/>
      <c r="D110" s="115"/>
      <c r="E110" s="115"/>
      <c r="F110" s="115"/>
      <c r="G110" s="115"/>
      <c r="H110" s="115"/>
      <c r="I110" s="115"/>
      <c r="J110" s="115"/>
      <c r="K110" s="115"/>
      <c r="L110" s="116"/>
      <c r="M110" s="117">
        <f t="shared" si="77"/>
        <v>0</v>
      </c>
      <c r="N110" s="118">
        <f t="shared" si="6"/>
        <v>0</v>
      </c>
      <c r="O110" s="117">
        <f t="shared" ref="O110:P110" si="96">M110-M109</f>
        <v>0</v>
      </c>
      <c r="P110" s="123">
        <f t="shared" si="96"/>
        <v>0</v>
      </c>
      <c r="Q110" s="121">
        <f t="shared" si="11"/>
        <v>1000000000</v>
      </c>
      <c r="R110" s="122">
        <f t="shared" si="12"/>
        <v>83</v>
      </c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1:37" ht="15.75" customHeight="1" x14ac:dyDescent="0.15">
      <c r="A111" s="112" t="e">
        <f t="shared" si="76"/>
        <v>#VALUE!</v>
      </c>
      <c r="B111" s="113" t="str">
        <f t="shared" si="8"/>
        <v>T+84M</v>
      </c>
      <c r="C111" s="114"/>
      <c r="D111" s="115"/>
      <c r="E111" s="115"/>
      <c r="F111" s="115"/>
      <c r="G111" s="115"/>
      <c r="H111" s="115"/>
      <c r="I111" s="115"/>
      <c r="J111" s="115"/>
      <c r="K111" s="115"/>
      <c r="L111" s="116"/>
      <c r="M111" s="117">
        <f t="shared" si="77"/>
        <v>0</v>
      </c>
      <c r="N111" s="118">
        <f t="shared" si="6"/>
        <v>0</v>
      </c>
      <c r="O111" s="117">
        <f t="shared" ref="O111:P111" si="97">M111-M110</f>
        <v>0</v>
      </c>
      <c r="P111" s="123">
        <f t="shared" si="97"/>
        <v>0</v>
      </c>
      <c r="Q111" s="121">
        <f t="shared" si="11"/>
        <v>1000000000</v>
      </c>
      <c r="R111" s="122">
        <f t="shared" si="12"/>
        <v>84</v>
      </c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1:37" ht="15.75" customHeight="1" x14ac:dyDescent="0.15">
      <c r="A112" s="113" t="s">
        <v>65</v>
      </c>
      <c r="B112" s="113" t="str">
        <f>"T+"&amp;(R112*1)&amp;"M"&amp;" and thereafter"</f>
        <v>T+85M and thereafter</v>
      </c>
      <c r="C112" s="114"/>
      <c r="D112" s="115"/>
      <c r="E112" s="115"/>
      <c r="F112" s="115"/>
      <c r="G112" s="115"/>
      <c r="H112" s="115"/>
      <c r="I112" s="115"/>
      <c r="J112" s="115"/>
      <c r="K112" s="115"/>
      <c r="L112" s="116"/>
      <c r="M112" s="127">
        <f t="shared" si="77"/>
        <v>0</v>
      </c>
      <c r="N112" s="128">
        <f t="shared" si="6"/>
        <v>0</v>
      </c>
      <c r="O112" s="127">
        <f t="shared" ref="O112:P112" si="98">M112-M111</f>
        <v>0</v>
      </c>
      <c r="P112" s="129">
        <f t="shared" si="98"/>
        <v>0</v>
      </c>
      <c r="Q112" s="130">
        <f t="shared" si="11"/>
        <v>1000000000</v>
      </c>
      <c r="R112" s="122">
        <f t="shared" si="12"/>
        <v>85</v>
      </c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1:37" ht="15.75" customHeight="1" x14ac:dyDescent="0.15">
      <c r="A113" s="113"/>
      <c r="B113" s="113" t="s">
        <v>14</v>
      </c>
      <c r="C113" s="131">
        <f t="shared" ref="C113:L113" si="99">SUM(C27:C112)</f>
        <v>0</v>
      </c>
      <c r="D113" s="132">
        <f t="shared" si="99"/>
        <v>0</v>
      </c>
      <c r="E113" s="132">
        <f t="shared" si="99"/>
        <v>0</v>
      </c>
      <c r="F113" s="132">
        <f t="shared" si="99"/>
        <v>0</v>
      </c>
      <c r="G113" s="132">
        <f t="shared" si="99"/>
        <v>0</v>
      </c>
      <c r="H113" s="132">
        <f t="shared" si="99"/>
        <v>0</v>
      </c>
      <c r="I113" s="132">
        <f t="shared" si="99"/>
        <v>0</v>
      </c>
      <c r="J113" s="132">
        <f t="shared" si="99"/>
        <v>0</v>
      </c>
      <c r="K113" s="132">
        <f t="shared" si="99"/>
        <v>0</v>
      </c>
      <c r="L113" s="132">
        <f t="shared" si="99"/>
        <v>0</v>
      </c>
      <c r="M113" s="133">
        <f>SUM(C113:L113)</f>
        <v>0</v>
      </c>
      <c r="N113" s="134"/>
      <c r="O113" s="27"/>
      <c r="P113" s="25"/>
      <c r="Q113" s="13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1:37" ht="15.75" customHeight="1" x14ac:dyDescent="0.15">
      <c r="A114" s="113"/>
      <c r="B114" s="113" t="s">
        <v>66</v>
      </c>
      <c r="C114" s="136" t="str">
        <f t="shared" ref="C114:M114" si="100">IFERROR(C113/$M113,"")</f>
        <v/>
      </c>
      <c r="D114" s="137" t="str">
        <f t="shared" si="100"/>
        <v/>
      </c>
      <c r="E114" s="137" t="str">
        <f t="shared" si="100"/>
        <v/>
      </c>
      <c r="F114" s="137" t="str">
        <f t="shared" si="100"/>
        <v/>
      </c>
      <c r="G114" s="137" t="str">
        <f t="shared" si="100"/>
        <v/>
      </c>
      <c r="H114" s="137" t="str">
        <f t="shared" si="100"/>
        <v/>
      </c>
      <c r="I114" s="137" t="str">
        <f t="shared" si="100"/>
        <v/>
      </c>
      <c r="J114" s="137" t="str">
        <f t="shared" si="100"/>
        <v/>
      </c>
      <c r="K114" s="137" t="str">
        <f t="shared" si="100"/>
        <v/>
      </c>
      <c r="L114" s="137" t="str">
        <f t="shared" si="100"/>
        <v/>
      </c>
      <c r="M114" s="138" t="str">
        <f t="shared" si="100"/>
        <v/>
      </c>
      <c r="N114" s="27"/>
      <c r="O114" s="27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1:37" ht="15.75" customHeight="1" x14ac:dyDescent="0.15">
      <c r="A115" s="27"/>
      <c r="B115" s="27"/>
      <c r="C115" s="139"/>
      <c r="D115" s="139"/>
      <c r="E115" s="139"/>
      <c r="F115" s="140"/>
      <c r="G115" s="140"/>
      <c r="H115" s="140"/>
      <c r="I115" s="140"/>
      <c r="J115" s="140"/>
      <c r="K115" s="140"/>
      <c r="L115" s="140"/>
      <c r="M115" s="141"/>
      <c r="N115" s="140"/>
      <c r="O115" s="27"/>
      <c r="P115" s="27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1:37" ht="15.75" customHeight="1" x14ac:dyDescent="0.15">
      <c r="A116" s="140"/>
      <c r="B116" s="140"/>
      <c r="C116" s="140"/>
      <c r="D116" s="140"/>
      <c r="E116" s="140"/>
      <c r="F116" s="140"/>
      <c r="G116" s="140"/>
      <c r="H116" s="140"/>
      <c r="I116" s="142"/>
      <c r="J116" s="140"/>
      <c r="K116" s="140"/>
      <c r="L116" s="140"/>
      <c r="M116" s="141"/>
      <c r="N116" s="140"/>
      <c r="O116" s="27"/>
      <c r="P116" s="27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1:37" ht="15.75" customHeight="1" x14ac:dyDescent="0.15">
      <c r="A117" s="140"/>
      <c r="B117" s="140"/>
      <c r="C117" s="140"/>
      <c r="D117" s="140"/>
      <c r="E117" s="140"/>
      <c r="F117" s="140"/>
      <c r="G117" s="140"/>
      <c r="H117" s="140"/>
      <c r="I117" s="142"/>
      <c r="J117" s="140"/>
      <c r="K117" s="140"/>
      <c r="L117" s="140"/>
      <c r="M117" s="141"/>
      <c r="N117" s="140"/>
      <c r="O117" s="27"/>
      <c r="P117" s="27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1:37" ht="15.75" customHeight="1" x14ac:dyDescent="0.15">
      <c r="A118" s="140"/>
      <c r="B118" s="140"/>
      <c r="C118" s="140"/>
      <c r="D118" s="140"/>
      <c r="E118" s="140"/>
      <c r="F118" s="140"/>
      <c r="G118" s="140"/>
      <c r="H118" s="140"/>
      <c r="I118" s="142"/>
      <c r="J118" s="140"/>
      <c r="K118" s="140"/>
      <c r="L118" s="140"/>
      <c r="M118" s="141"/>
      <c r="N118" s="140"/>
      <c r="O118" s="27"/>
      <c r="P118" s="27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1:37" ht="15.75" customHeight="1" x14ac:dyDescent="0.15">
      <c r="A119" s="140"/>
      <c r="B119" s="140"/>
      <c r="C119" s="140"/>
      <c r="D119" s="140"/>
      <c r="E119" s="140"/>
      <c r="F119" s="140"/>
      <c r="G119" s="140"/>
      <c r="H119" s="140"/>
      <c r="I119" s="142"/>
      <c r="J119" s="140"/>
      <c r="K119" s="140"/>
      <c r="L119" s="140"/>
      <c r="M119" s="141"/>
      <c r="N119" s="140"/>
      <c r="O119" s="27"/>
      <c r="P119" s="27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:37" ht="15.75" customHeight="1" x14ac:dyDescent="0.15">
      <c r="A120" s="140"/>
      <c r="B120" s="140"/>
      <c r="C120" s="140"/>
      <c r="D120" s="140"/>
      <c r="E120" s="140"/>
      <c r="F120" s="140"/>
      <c r="G120" s="140"/>
      <c r="H120" s="140"/>
      <c r="I120" s="142"/>
      <c r="J120" s="140"/>
      <c r="K120" s="140"/>
      <c r="L120" s="140"/>
      <c r="M120" s="141"/>
      <c r="N120" s="140"/>
      <c r="O120" s="27"/>
      <c r="P120" s="27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1:37" ht="15.75" customHeight="1" x14ac:dyDescent="0.15">
      <c r="A121" s="140"/>
      <c r="B121" s="140"/>
      <c r="C121" s="140"/>
      <c r="D121" s="140"/>
      <c r="E121" s="140"/>
      <c r="F121" s="140"/>
      <c r="G121" s="140"/>
      <c r="H121" s="140"/>
      <c r="I121" s="142"/>
      <c r="J121" s="140"/>
      <c r="K121" s="140"/>
      <c r="L121" s="140"/>
      <c r="M121" s="141"/>
      <c r="N121" s="140"/>
      <c r="O121" s="27"/>
      <c r="P121" s="27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1:37" ht="15.75" customHeight="1" x14ac:dyDescent="0.15">
      <c r="A122" s="140"/>
      <c r="B122" s="140"/>
      <c r="C122" s="140"/>
      <c r="D122" s="140"/>
      <c r="E122" s="140"/>
      <c r="F122" s="140"/>
      <c r="G122" s="140"/>
      <c r="H122" s="140"/>
      <c r="I122" s="142"/>
      <c r="J122" s="140"/>
      <c r="K122" s="140"/>
      <c r="L122" s="140"/>
      <c r="M122" s="141"/>
      <c r="N122" s="140"/>
      <c r="O122" s="27"/>
      <c r="P122" s="27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1:37" ht="15.75" customHeight="1" x14ac:dyDescent="0.15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1"/>
      <c r="N123" s="140"/>
      <c r="O123" s="27"/>
      <c r="P123" s="27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1:37" ht="15.75" customHeight="1" x14ac:dyDescent="0.15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1"/>
      <c r="N124" s="140"/>
      <c r="O124" s="27"/>
      <c r="P124" s="27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1:37" ht="15.75" customHeight="1" x14ac:dyDescent="0.15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1"/>
      <c r="N125" s="140"/>
      <c r="O125" s="27"/>
      <c r="P125" s="27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1:37" ht="15.75" customHeight="1" x14ac:dyDescent="0.15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1"/>
      <c r="N126" s="140"/>
      <c r="O126" s="27"/>
      <c r="P126" s="27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1:37" ht="15.75" customHeight="1" x14ac:dyDescent="0.15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1"/>
      <c r="N127" s="140"/>
      <c r="O127" s="27"/>
      <c r="P127" s="27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1:37" ht="15.75" customHeight="1" x14ac:dyDescent="0.15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1"/>
      <c r="N128" s="140"/>
      <c r="O128" s="27"/>
      <c r="P128" s="27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:37" ht="15.75" customHeight="1" x14ac:dyDescent="0.15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1"/>
      <c r="N129" s="140"/>
      <c r="O129" s="27"/>
      <c r="P129" s="27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1:37" ht="15.75" customHeight="1" x14ac:dyDescent="0.15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1"/>
      <c r="N130" s="140"/>
      <c r="O130" s="27"/>
      <c r="P130" s="27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1:37" ht="15.75" customHeight="1" x14ac:dyDescent="0.15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1"/>
      <c r="N131" s="140"/>
      <c r="O131" s="27"/>
      <c r="P131" s="27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spans="1:37" ht="15.75" customHeight="1" x14ac:dyDescent="0.15">
      <c r="A132" s="27"/>
      <c r="B132" s="27"/>
      <c r="C132" s="27"/>
      <c r="D132" s="27"/>
      <c r="E132" s="27"/>
      <c r="F132" s="143"/>
      <c r="G132" s="143"/>
      <c r="H132" s="38"/>
      <c r="I132" s="38"/>
      <c r="J132" s="27"/>
      <c r="K132" s="27"/>
      <c r="L132" s="27"/>
      <c r="M132" s="144"/>
      <c r="N132" s="27"/>
      <c r="O132" s="27"/>
      <c r="P132" s="27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spans="1:37" ht="15.75" customHeight="1" x14ac:dyDescent="0.15">
      <c r="A133" s="27"/>
      <c r="B133" s="27"/>
      <c r="C133" s="27"/>
      <c r="D133" s="27"/>
      <c r="E133" s="27"/>
      <c r="F133" s="38"/>
      <c r="G133" s="38"/>
      <c r="H133" s="27"/>
      <c r="I133" s="27"/>
      <c r="J133" s="27"/>
      <c r="K133" s="27"/>
      <c r="L133" s="27"/>
      <c r="M133" s="144"/>
      <c r="N133" s="27"/>
      <c r="O133" s="27"/>
      <c r="P133" s="27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spans="1:37" ht="15.75" customHeight="1" x14ac:dyDescent="0.15">
      <c r="A134" s="27"/>
      <c r="B134" s="27"/>
      <c r="C134" s="27"/>
      <c r="D134" s="27"/>
      <c r="E134" s="27"/>
      <c r="F134" s="143"/>
      <c r="G134" s="38"/>
      <c r="H134" s="27"/>
      <c r="I134" s="27"/>
      <c r="J134" s="27"/>
      <c r="K134" s="27"/>
      <c r="L134" s="27"/>
      <c r="M134" s="144"/>
      <c r="N134" s="27"/>
      <c r="O134" s="27"/>
      <c r="P134" s="27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spans="1:37" ht="15.75" customHeight="1" x14ac:dyDescent="0.1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144"/>
      <c r="N135" s="27"/>
      <c r="O135" s="27"/>
      <c r="P135" s="27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spans="1:37" ht="15.75" customHeight="1" x14ac:dyDescent="0.1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144"/>
      <c r="N136" s="27"/>
      <c r="O136" s="27"/>
      <c r="P136" s="27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spans="1:37" ht="15.75" customHeight="1" x14ac:dyDescent="0.1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144"/>
      <c r="N137" s="27"/>
      <c r="O137" s="27"/>
      <c r="P137" s="27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spans="1:37" ht="15.75" customHeight="1" x14ac:dyDescent="0.1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144"/>
      <c r="N138" s="27"/>
      <c r="O138" s="27"/>
      <c r="P138" s="27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spans="1:37" ht="15.75" customHeight="1" x14ac:dyDescent="0.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14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spans="1:37" ht="15.75" customHeight="1" x14ac:dyDescent="0.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14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spans="1:37" ht="15.75" customHeight="1" x14ac:dyDescent="0.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14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spans="1:37" ht="15.75" customHeight="1" x14ac:dyDescent="0.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14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spans="1:37" ht="15.75" customHeight="1" x14ac:dyDescent="0.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14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spans="1:37" ht="15.75" customHeight="1" x14ac:dyDescent="0.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14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spans="1:37" ht="15.75" customHeight="1" x14ac:dyDescent="0.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14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spans="1:37" ht="15.75" customHeight="1" x14ac:dyDescent="0.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14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spans="1:37" ht="15.75" customHeight="1" x14ac:dyDescent="0.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14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spans="1:37" ht="15.75" customHeight="1" x14ac:dyDescent="0.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14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spans="1:37" ht="15.75" customHeight="1" x14ac:dyDescent="0.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14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spans="1:37" ht="15.75" customHeight="1" x14ac:dyDescent="0.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14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spans="1:37" ht="15.75" customHeight="1" x14ac:dyDescent="0.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14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spans="1:37" ht="15.75" customHeight="1" x14ac:dyDescent="0.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14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spans="1:37" ht="15.75" customHeight="1" x14ac:dyDescent="0.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14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spans="1:37" ht="15.75" customHeight="1" x14ac:dyDescent="0.1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14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spans="1:37" ht="15.75" customHeight="1" x14ac:dyDescent="0.1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14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spans="1:37" ht="15.75" customHeight="1" x14ac:dyDescent="0.1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14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spans="1:37" ht="15.75" customHeight="1" x14ac:dyDescent="0.1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14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spans="1:37" ht="15.75" customHeight="1" x14ac:dyDescent="0.1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14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spans="1:37" ht="15.75" customHeight="1" x14ac:dyDescent="0.1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14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spans="1:37" ht="15.75" customHeight="1" x14ac:dyDescent="0.1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14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spans="1:37" ht="15.75" customHeight="1" x14ac:dyDescent="0.1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14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spans="1:37" ht="15.75" customHeight="1" x14ac:dyDescent="0.1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14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spans="1:37" ht="15.75" customHeight="1" x14ac:dyDescent="0.1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14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spans="1:37" ht="15.75" customHeight="1" x14ac:dyDescent="0.1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14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spans="1:37" ht="15.75" customHeight="1" x14ac:dyDescent="0.1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14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spans="1:37" ht="15.75" customHeight="1" x14ac:dyDescent="0.1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14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spans="1:37" ht="15.75" customHeight="1" x14ac:dyDescent="0.1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14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spans="1:37" ht="15.75" customHeight="1" x14ac:dyDescent="0.1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14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spans="1:37" ht="15.75" customHeight="1" x14ac:dyDescent="0.1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14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pans="1:37" ht="15.75" customHeight="1" x14ac:dyDescent="0.1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14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pans="1:37" ht="15.75" customHeight="1" x14ac:dyDescent="0.1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14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pans="1:37" ht="15.75" customHeight="1" x14ac:dyDescent="0.1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14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pans="1:37" ht="15.75" customHeight="1" x14ac:dyDescent="0.1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14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pans="1:37" ht="15.75" customHeight="1" x14ac:dyDescent="0.1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14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spans="1:37" ht="15.75" customHeight="1" x14ac:dyDescent="0.1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14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pans="1:37" ht="15.75" customHeight="1" x14ac:dyDescent="0.1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14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spans="1:37" ht="15.75" customHeight="1" x14ac:dyDescent="0.1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14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spans="1:37" ht="15.75" customHeight="1" x14ac:dyDescent="0.1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14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spans="1:37" ht="15.75" customHeight="1" x14ac:dyDescent="0.1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14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spans="1:37" ht="15.75" customHeight="1" x14ac:dyDescent="0.1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14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spans="1:37" ht="15.75" customHeight="1" x14ac:dyDescent="0.1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14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spans="1:37" ht="15.75" customHeight="1" x14ac:dyDescent="0.1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14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spans="1:37" ht="15.75" customHeight="1" x14ac:dyDescent="0.1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14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spans="1:37" ht="15.75" customHeight="1" x14ac:dyDescent="0.1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14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spans="1:37" ht="15.75" customHeight="1" x14ac:dyDescent="0.1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14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spans="1:37" ht="15.75" customHeight="1" x14ac:dyDescent="0.1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14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spans="1:37" ht="15.75" customHeight="1" x14ac:dyDescent="0.1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14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spans="1:37" ht="15.75" customHeight="1" x14ac:dyDescent="0.1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14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spans="1:37" ht="15.75" customHeight="1" x14ac:dyDescent="0.1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14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spans="1:37" ht="15.75" customHeight="1" x14ac:dyDescent="0.1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14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spans="1:37" ht="15.75" customHeight="1" x14ac:dyDescent="0.1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14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spans="1:37" ht="15.75" customHeight="1" x14ac:dyDescent="0.1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14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spans="1:37" ht="15.75" customHeight="1" x14ac:dyDescent="0.1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14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spans="1:37" ht="15.75" customHeight="1" x14ac:dyDescent="0.1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14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spans="1:37" ht="15.75" customHeight="1" x14ac:dyDescent="0.1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14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spans="1:37" ht="15.75" customHeight="1" x14ac:dyDescent="0.1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14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spans="1:37" ht="15.75" customHeight="1" x14ac:dyDescent="0.1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14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spans="1:37" ht="15.75" customHeight="1" x14ac:dyDescent="0.1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14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spans="1:37" ht="15.75" customHeight="1" x14ac:dyDescent="0.1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14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spans="1:37" ht="15.75" customHeight="1" x14ac:dyDescent="0.1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14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spans="1:37" ht="15.75" customHeight="1" x14ac:dyDescent="0.1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14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spans="1:37" ht="15.75" customHeight="1" x14ac:dyDescent="0.1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14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spans="1:37" ht="15.75" customHeight="1" x14ac:dyDescent="0.1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14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spans="1:37" ht="15.75" customHeight="1" x14ac:dyDescent="0.1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14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spans="1:37" ht="15.75" customHeight="1" x14ac:dyDescent="0.1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14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spans="1:37" ht="15.75" customHeight="1" x14ac:dyDescent="0.1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14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spans="1:37" ht="15.75" customHeight="1" x14ac:dyDescent="0.1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14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spans="1:37" ht="15.75" customHeight="1" x14ac:dyDescent="0.1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14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spans="1:37" ht="15.75" customHeight="1" x14ac:dyDescent="0.1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14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spans="1:37" ht="15.75" customHeight="1" x14ac:dyDescent="0.1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14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spans="1:37" ht="15.75" customHeight="1" x14ac:dyDescent="0.1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14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spans="1:37" ht="15.75" customHeight="1" x14ac:dyDescent="0.1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14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spans="1:37" ht="15.75" customHeight="1" x14ac:dyDescent="0.1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14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spans="1:37" ht="15.75" customHeight="1" x14ac:dyDescent="0.1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14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spans="1:37" ht="15.75" customHeight="1" x14ac:dyDescent="0.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14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spans="1:37" ht="15.75" customHeight="1" x14ac:dyDescent="0.1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14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spans="1:37" ht="15.75" customHeight="1" x14ac:dyDescent="0.1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14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spans="1:37" ht="15.75" customHeight="1" x14ac:dyDescent="0.1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14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spans="1:37" ht="15.75" customHeight="1" x14ac:dyDescent="0.1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14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spans="1:37" ht="15.75" customHeight="1" x14ac:dyDescent="0.1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14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spans="1:37" ht="15.75" customHeight="1" x14ac:dyDescent="0.1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14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</row>
    <row r="222" spans="1:37" ht="15.75" customHeight="1" x14ac:dyDescent="0.1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14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</row>
    <row r="223" spans="1:37" ht="15.75" customHeight="1" x14ac:dyDescent="0.1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14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</row>
    <row r="224" spans="1:37" ht="15.75" customHeight="1" x14ac:dyDescent="0.1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14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</row>
    <row r="225" spans="1:37" ht="15.75" customHeight="1" x14ac:dyDescent="0.1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14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</row>
    <row r="226" spans="1:37" ht="15.75" customHeight="1" x14ac:dyDescent="0.1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14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</row>
    <row r="227" spans="1:37" ht="15.75" customHeight="1" x14ac:dyDescent="0.1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14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</row>
    <row r="228" spans="1:37" ht="15.75" customHeight="1" x14ac:dyDescent="0.1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14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</row>
    <row r="229" spans="1:37" ht="15.75" customHeight="1" x14ac:dyDescent="0.1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14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</row>
    <row r="230" spans="1:37" ht="15.75" customHeight="1" x14ac:dyDescent="0.1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14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</row>
    <row r="231" spans="1:37" ht="15.75" customHeight="1" x14ac:dyDescent="0.1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14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</row>
    <row r="232" spans="1:37" ht="15.75" customHeight="1" x14ac:dyDescent="0.1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14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</row>
    <row r="233" spans="1:37" ht="15.75" customHeight="1" x14ac:dyDescent="0.1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14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</row>
    <row r="234" spans="1:37" ht="15.75" customHeight="1" x14ac:dyDescent="0.1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14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</row>
    <row r="235" spans="1:37" ht="15.75" customHeight="1" x14ac:dyDescent="0.1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14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</row>
    <row r="236" spans="1:37" ht="15.75" customHeight="1" x14ac:dyDescent="0.1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14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</row>
    <row r="237" spans="1:37" ht="15.75" customHeight="1" x14ac:dyDescent="0.1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14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</row>
    <row r="238" spans="1:37" ht="15.75" customHeight="1" x14ac:dyDescent="0.1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14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</row>
    <row r="239" spans="1:37" ht="15.75" customHeight="1" x14ac:dyDescent="0.1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14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</row>
    <row r="240" spans="1:37" ht="15.75" customHeight="1" x14ac:dyDescent="0.1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14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</row>
    <row r="241" spans="1:37" ht="15.75" customHeight="1" x14ac:dyDescent="0.1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14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</row>
    <row r="242" spans="1:37" ht="15.75" customHeight="1" x14ac:dyDescent="0.1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14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</row>
    <row r="243" spans="1:37" ht="15.75" customHeight="1" x14ac:dyDescent="0.1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14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</row>
    <row r="244" spans="1:37" ht="15.75" customHeight="1" x14ac:dyDescent="0.1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14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</row>
    <row r="245" spans="1:37" ht="15.75" customHeight="1" x14ac:dyDescent="0.1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14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</row>
    <row r="246" spans="1:37" ht="15.75" customHeight="1" x14ac:dyDescent="0.1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14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</row>
    <row r="247" spans="1:37" ht="15.75" customHeight="1" x14ac:dyDescent="0.1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14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</row>
    <row r="248" spans="1:37" ht="15.75" customHeight="1" x14ac:dyDescent="0.1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14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</row>
    <row r="249" spans="1:37" ht="15.75" customHeight="1" x14ac:dyDescent="0.1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14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</row>
    <row r="250" spans="1:37" ht="15.75" customHeight="1" x14ac:dyDescent="0.1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14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</row>
    <row r="251" spans="1:37" ht="15.75" customHeight="1" x14ac:dyDescent="0.1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14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</row>
    <row r="252" spans="1:37" ht="15.75" customHeight="1" x14ac:dyDescent="0.1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14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</row>
    <row r="253" spans="1:37" ht="15.75" customHeight="1" x14ac:dyDescent="0.1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14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</row>
    <row r="254" spans="1:37" ht="15.75" customHeight="1" x14ac:dyDescent="0.1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14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</row>
    <row r="255" spans="1:37" ht="15.75" customHeight="1" x14ac:dyDescent="0.1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14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</row>
    <row r="256" spans="1:37" ht="15.75" customHeight="1" x14ac:dyDescent="0.1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14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</row>
    <row r="257" spans="1:37" ht="15.75" customHeight="1" x14ac:dyDescent="0.1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14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</row>
    <row r="258" spans="1:37" ht="15.75" customHeight="1" x14ac:dyDescent="0.1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14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</row>
    <row r="259" spans="1:37" ht="15.75" customHeight="1" x14ac:dyDescent="0.1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14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</row>
    <row r="260" spans="1:37" ht="15.75" customHeight="1" x14ac:dyDescent="0.1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14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</row>
    <row r="261" spans="1:37" ht="15.75" customHeight="1" x14ac:dyDescent="0.1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14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</row>
    <row r="262" spans="1:37" ht="15.75" customHeight="1" x14ac:dyDescent="0.1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14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</row>
    <row r="263" spans="1:37" ht="15.75" customHeight="1" x14ac:dyDescent="0.1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14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</row>
    <row r="264" spans="1:37" ht="15.75" customHeight="1" x14ac:dyDescent="0.1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14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</row>
    <row r="265" spans="1:37" ht="15.75" customHeight="1" x14ac:dyDescent="0.1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14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</row>
    <row r="266" spans="1:37" ht="15.75" customHeight="1" x14ac:dyDescent="0.1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14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</row>
    <row r="267" spans="1:37" ht="15.75" customHeight="1" x14ac:dyDescent="0.1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14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</row>
    <row r="268" spans="1:37" ht="15.75" customHeight="1" x14ac:dyDescent="0.1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14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</row>
    <row r="269" spans="1:37" ht="15.75" customHeight="1" x14ac:dyDescent="0.1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14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</row>
    <row r="270" spans="1:37" ht="15.75" customHeight="1" x14ac:dyDescent="0.1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14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</row>
    <row r="271" spans="1:37" ht="15.75" customHeight="1" x14ac:dyDescent="0.1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14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</row>
    <row r="272" spans="1:37" ht="15.75" customHeight="1" x14ac:dyDescent="0.1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14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</row>
    <row r="273" spans="1:37" ht="15.75" customHeight="1" x14ac:dyDescent="0.1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14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</row>
    <row r="274" spans="1:37" ht="15.75" customHeight="1" x14ac:dyDescent="0.1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14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</row>
    <row r="275" spans="1:37" ht="15.75" customHeight="1" x14ac:dyDescent="0.1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14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</row>
    <row r="276" spans="1:37" ht="15.75" customHeight="1" x14ac:dyDescent="0.1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14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</row>
    <row r="277" spans="1:37" ht="15.75" customHeight="1" x14ac:dyDescent="0.1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14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</row>
    <row r="278" spans="1:37" ht="15.75" customHeight="1" x14ac:dyDescent="0.1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14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</row>
    <row r="279" spans="1:37" ht="15.75" customHeight="1" x14ac:dyDescent="0.1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14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</row>
    <row r="280" spans="1:37" ht="15.75" customHeight="1" x14ac:dyDescent="0.1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14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</row>
    <row r="281" spans="1:37" ht="15.75" customHeight="1" x14ac:dyDescent="0.1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14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</row>
    <row r="282" spans="1:37" ht="15.75" customHeight="1" x14ac:dyDescent="0.1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14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</row>
    <row r="283" spans="1:37" ht="15.75" customHeight="1" x14ac:dyDescent="0.1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14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</row>
    <row r="284" spans="1:37" ht="15.75" customHeight="1" x14ac:dyDescent="0.1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14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</row>
    <row r="285" spans="1:37" ht="15.75" customHeight="1" x14ac:dyDescent="0.1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14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</row>
    <row r="286" spans="1:37" ht="15.75" customHeight="1" x14ac:dyDescent="0.1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14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</row>
    <row r="287" spans="1:37" ht="15.75" customHeight="1" x14ac:dyDescent="0.1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14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</row>
    <row r="288" spans="1:37" ht="15.75" customHeight="1" x14ac:dyDescent="0.1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14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</row>
    <row r="289" spans="1:37" ht="15.75" customHeight="1" x14ac:dyDescent="0.1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14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</row>
    <row r="290" spans="1:37" ht="15.75" customHeight="1" x14ac:dyDescent="0.1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14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</row>
    <row r="291" spans="1:37" ht="15.75" customHeight="1" x14ac:dyDescent="0.1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14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</row>
    <row r="292" spans="1:37" ht="15.75" customHeight="1" x14ac:dyDescent="0.1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14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</row>
    <row r="293" spans="1:37" ht="15.75" customHeight="1" x14ac:dyDescent="0.1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14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</row>
    <row r="294" spans="1:37" ht="15.75" customHeight="1" x14ac:dyDescent="0.1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14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</row>
    <row r="295" spans="1:37" ht="15.75" customHeight="1" x14ac:dyDescent="0.1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14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</row>
    <row r="296" spans="1:37" ht="15.75" customHeight="1" x14ac:dyDescent="0.1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14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</row>
    <row r="297" spans="1:37" ht="15.75" customHeight="1" x14ac:dyDescent="0.1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14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</row>
    <row r="298" spans="1:37" ht="15.75" customHeight="1" x14ac:dyDescent="0.1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14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</row>
    <row r="299" spans="1:37" ht="15.75" customHeight="1" x14ac:dyDescent="0.1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14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</row>
    <row r="300" spans="1:37" ht="15.75" customHeight="1" x14ac:dyDescent="0.1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14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</row>
    <row r="301" spans="1:37" ht="15.75" customHeight="1" x14ac:dyDescent="0.1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14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</row>
    <row r="302" spans="1:37" ht="15.75" customHeight="1" x14ac:dyDescent="0.1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14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</row>
    <row r="303" spans="1:37" ht="15.75" customHeight="1" x14ac:dyDescent="0.1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14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</row>
    <row r="304" spans="1:37" ht="15.75" customHeight="1" x14ac:dyDescent="0.1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14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</row>
    <row r="305" spans="1:37" ht="15.75" customHeight="1" x14ac:dyDescent="0.1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14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</row>
    <row r="306" spans="1:37" ht="15.75" customHeight="1" x14ac:dyDescent="0.1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14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</row>
    <row r="307" spans="1:37" ht="15.75" customHeight="1" x14ac:dyDescent="0.1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14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</row>
    <row r="308" spans="1:37" ht="15.75" customHeight="1" x14ac:dyDescent="0.1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14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</row>
    <row r="309" spans="1:37" ht="15.75" customHeight="1" x14ac:dyDescent="0.1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14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</row>
    <row r="310" spans="1:37" ht="15.75" customHeight="1" x14ac:dyDescent="0.1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14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</row>
    <row r="311" spans="1:37" ht="15.75" customHeight="1" x14ac:dyDescent="0.1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14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</row>
    <row r="312" spans="1:37" ht="15.75" customHeight="1" x14ac:dyDescent="0.1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14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</row>
    <row r="313" spans="1:37" ht="15.75" customHeight="1" x14ac:dyDescent="0.1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14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</row>
    <row r="314" spans="1:37" ht="15.75" customHeight="1" x14ac:dyDescent="0.1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14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</row>
    <row r="315" spans="1:37" ht="15.75" customHeight="1" x14ac:dyDescent="0.15"/>
    <row r="316" spans="1:37" ht="15.75" customHeight="1" x14ac:dyDescent="0.15"/>
    <row r="317" spans="1:37" ht="15.75" customHeight="1" x14ac:dyDescent="0.15"/>
    <row r="318" spans="1:37" ht="15.75" customHeight="1" x14ac:dyDescent="0.15"/>
    <row r="319" spans="1:37" ht="15.75" customHeight="1" x14ac:dyDescent="0.15"/>
    <row r="320" spans="1:37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7">
    <mergeCell ref="C9:D9"/>
    <mergeCell ref="F9:N9"/>
    <mergeCell ref="C10:D10"/>
    <mergeCell ref="F10:N10"/>
    <mergeCell ref="C2:D2"/>
    <mergeCell ref="F2:N3"/>
    <mergeCell ref="C3:D3"/>
    <mergeCell ref="C4:D4"/>
    <mergeCell ref="F4:N4"/>
    <mergeCell ref="C5:D5"/>
    <mergeCell ref="C6:D6"/>
    <mergeCell ref="F5:N5"/>
    <mergeCell ref="F6:N6"/>
    <mergeCell ref="C7:D7"/>
    <mergeCell ref="F7:N7"/>
    <mergeCell ref="C8:D8"/>
    <mergeCell ref="F8:N8"/>
  </mergeCells>
  <phoneticPr fontId="46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2.6640625" defaultRowHeight="15" customHeight="1" x14ac:dyDescent="0.15"/>
  <cols>
    <col min="1" max="1" width="5.83203125" customWidth="1"/>
    <col min="2" max="3" width="13.1640625" customWidth="1"/>
    <col min="4" max="4" width="21" customWidth="1"/>
    <col min="5" max="5" width="9.1640625" customWidth="1"/>
    <col min="6" max="7" width="8.6640625" customWidth="1"/>
    <col min="8" max="8" width="34.83203125" customWidth="1"/>
    <col min="9" max="9" width="13.33203125" customWidth="1"/>
    <col min="10" max="26" width="8.6640625" customWidth="1"/>
  </cols>
  <sheetData>
    <row r="1" spans="1:26" ht="12.75" customHeight="1" x14ac:dyDescent="0.15">
      <c r="A1" s="326" t="s">
        <v>67</v>
      </c>
      <c r="B1" s="327"/>
      <c r="C1" s="327"/>
      <c r="D1" s="327"/>
      <c r="E1" s="327"/>
      <c r="F1" s="327"/>
      <c r="G1" s="327"/>
      <c r="H1" s="327"/>
      <c r="I1" s="3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2.75" customHeight="1" x14ac:dyDescent="0.15">
      <c r="A2" s="328" t="s">
        <v>68</v>
      </c>
      <c r="B2" s="327"/>
      <c r="C2" s="327"/>
      <c r="D2" s="327"/>
      <c r="E2" s="327"/>
      <c r="F2" s="327"/>
      <c r="G2" s="327"/>
      <c r="H2" s="327"/>
      <c r="I2" s="3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15">
      <c r="A3" s="146" t="s">
        <v>69</v>
      </c>
      <c r="B3" s="146" t="s">
        <v>70</v>
      </c>
      <c r="C3" s="146" t="s">
        <v>71</v>
      </c>
      <c r="D3" s="146" t="s">
        <v>72</v>
      </c>
      <c r="E3" s="329" t="s">
        <v>73</v>
      </c>
      <c r="F3" s="330"/>
      <c r="G3" s="330"/>
      <c r="H3" s="331"/>
      <c r="I3" s="147" t="s">
        <v>74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15">
      <c r="A4" s="148">
        <v>1</v>
      </c>
      <c r="B4" s="148" t="s">
        <v>75</v>
      </c>
      <c r="C4" s="148" t="s">
        <v>76</v>
      </c>
      <c r="D4" s="149" t="s">
        <v>77</v>
      </c>
      <c r="E4" s="332" t="s">
        <v>78</v>
      </c>
      <c r="F4" s="333"/>
      <c r="G4" s="333"/>
      <c r="H4" s="334"/>
      <c r="I4" s="150" t="b">
        <v>0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 x14ac:dyDescent="0.15">
      <c r="A5" s="148">
        <v>2</v>
      </c>
      <c r="B5" s="148" t="s">
        <v>75</v>
      </c>
      <c r="C5" s="148" t="s">
        <v>76</v>
      </c>
      <c r="D5" s="149" t="s">
        <v>79</v>
      </c>
      <c r="E5" s="335" t="s">
        <v>80</v>
      </c>
      <c r="F5" s="333"/>
      <c r="G5" s="333"/>
      <c r="H5" s="334"/>
      <c r="I5" s="150" t="b">
        <v>0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.75" customHeight="1" x14ac:dyDescent="0.15">
      <c r="A6" s="148">
        <v>3</v>
      </c>
      <c r="B6" s="148" t="s">
        <v>75</v>
      </c>
      <c r="C6" s="148" t="s">
        <v>76</v>
      </c>
      <c r="D6" s="149" t="s">
        <v>81</v>
      </c>
      <c r="E6" s="335" t="s">
        <v>82</v>
      </c>
      <c r="F6" s="333"/>
      <c r="G6" s="333"/>
      <c r="H6" s="334"/>
      <c r="I6" s="150" t="b">
        <v>0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 x14ac:dyDescent="0.15">
      <c r="A7" s="151">
        <v>4</v>
      </c>
      <c r="B7" s="151" t="s">
        <v>75</v>
      </c>
      <c r="C7" s="151" t="s">
        <v>83</v>
      </c>
      <c r="D7" s="152" t="s">
        <v>84</v>
      </c>
      <c r="E7" s="336" t="s">
        <v>85</v>
      </c>
      <c r="F7" s="333"/>
      <c r="G7" s="333"/>
      <c r="H7" s="334"/>
      <c r="I7" s="153" t="b">
        <v>0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 x14ac:dyDescent="0.15">
      <c r="A8" s="151">
        <v>5</v>
      </c>
      <c r="B8" s="151" t="s">
        <v>86</v>
      </c>
      <c r="C8" s="151" t="s">
        <v>83</v>
      </c>
      <c r="D8" s="152" t="s">
        <v>87</v>
      </c>
      <c r="E8" s="336" t="s">
        <v>88</v>
      </c>
      <c r="F8" s="333"/>
      <c r="G8" s="333"/>
      <c r="H8" s="334"/>
      <c r="I8" s="153" t="b">
        <v>0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 x14ac:dyDescent="0.15">
      <c r="A9" s="154">
        <v>6</v>
      </c>
      <c r="B9" s="154" t="s">
        <v>86</v>
      </c>
      <c r="C9" s="154" t="s">
        <v>83</v>
      </c>
      <c r="D9" s="155" t="s">
        <v>89</v>
      </c>
      <c r="E9" s="337" t="s">
        <v>90</v>
      </c>
      <c r="F9" s="333"/>
      <c r="G9" s="333"/>
      <c r="H9" s="334"/>
      <c r="I9" s="156" t="s">
        <v>91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 x14ac:dyDescent="0.15">
      <c r="A10" s="157" t="s">
        <v>92</v>
      </c>
      <c r="B10" s="158"/>
      <c r="C10" s="158"/>
      <c r="D10" s="158"/>
      <c r="E10" s="158"/>
      <c r="F10" s="158"/>
      <c r="G10" s="158"/>
      <c r="H10" s="158"/>
      <c r="I10" s="158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x14ac:dyDescent="0.15">
      <c r="A11" s="157" t="s">
        <v>93</v>
      </c>
      <c r="B11" s="158"/>
      <c r="C11" s="158"/>
      <c r="D11" s="158"/>
      <c r="E11" s="158"/>
      <c r="F11" s="158"/>
      <c r="G11" s="158"/>
      <c r="H11" s="158"/>
      <c r="I11" s="158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x14ac:dyDescent="0.15">
      <c r="A12" s="157" t="s">
        <v>94</v>
      </c>
      <c r="B12" s="158"/>
      <c r="C12" s="158"/>
      <c r="D12" s="158"/>
      <c r="E12" s="158"/>
      <c r="F12" s="158"/>
      <c r="G12" s="158"/>
      <c r="H12" s="158"/>
      <c r="I12" s="158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15">
      <c r="A13" s="159" t="s">
        <v>95</v>
      </c>
      <c r="B13" s="159" t="s">
        <v>96</v>
      </c>
      <c r="C13" s="159" t="s">
        <v>97</v>
      </c>
      <c r="D13" s="159" t="s">
        <v>98</v>
      </c>
      <c r="E13" s="338" t="s">
        <v>99</v>
      </c>
      <c r="F13" s="333"/>
      <c r="G13" s="333"/>
      <c r="H13" s="334"/>
      <c r="I13" s="159" t="s">
        <v>100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15">
      <c r="A14" s="160">
        <v>1</v>
      </c>
      <c r="B14" s="160" t="s">
        <v>101</v>
      </c>
      <c r="C14" s="160" t="s">
        <v>102</v>
      </c>
      <c r="D14" s="161" t="s">
        <v>103</v>
      </c>
      <c r="E14" s="335" t="s">
        <v>104</v>
      </c>
      <c r="F14" s="333"/>
      <c r="G14" s="333"/>
      <c r="H14" s="334"/>
      <c r="I14" s="150" t="b">
        <v>0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15">
      <c r="A15" s="160">
        <v>2</v>
      </c>
      <c r="B15" s="160" t="s">
        <v>101</v>
      </c>
      <c r="C15" s="160" t="s">
        <v>102</v>
      </c>
      <c r="D15" s="161" t="s">
        <v>105</v>
      </c>
      <c r="E15" s="335" t="s">
        <v>106</v>
      </c>
      <c r="F15" s="333"/>
      <c r="G15" s="333"/>
      <c r="H15" s="334"/>
      <c r="I15" s="150" t="b">
        <v>0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15">
      <c r="A16" s="160">
        <v>3</v>
      </c>
      <c r="B16" s="160" t="s">
        <v>101</v>
      </c>
      <c r="C16" s="160" t="s">
        <v>102</v>
      </c>
      <c r="D16" s="161" t="s">
        <v>107</v>
      </c>
      <c r="E16" s="335" t="s">
        <v>108</v>
      </c>
      <c r="F16" s="333"/>
      <c r="G16" s="333"/>
      <c r="H16" s="334"/>
      <c r="I16" s="150" t="b">
        <v>0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15">
      <c r="A17" s="162">
        <v>4</v>
      </c>
      <c r="B17" s="162" t="s">
        <v>101</v>
      </c>
      <c r="C17" s="162" t="s">
        <v>109</v>
      </c>
      <c r="D17" s="163" t="s">
        <v>110</v>
      </c>
      <c r="E17" s="336" t="s">
        <v>111</v>
      </c>
      <c r="F17" s="333"/>
      <c r="G17" s="333"/>
      <c r="H17" s="334"/>
      <c r="I17" s="162" t="b">
        <v>0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15">
      <c r="A18" s="162">
        <v>5</v>
      </c>
      <c r="B18" s="162" t="s">
        <v>112</v>
      </c>
      <c r="C18" s="162" t="s">
        <v>109</v>
      </c>
      <c r="D18" s="163" t="s">
        <v>113</v>
      </c>
      <c r="E18" s="336" t="s">
        <v>114</v>
      </c>
      <c r="F18" s="333"/>
      <c r="G18" s="333"/>
      <c r="H18" s="334"/>
      <c r="I18" s="162" t="b">
        <v>0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15">
      <c r="A19" s="164">
        <v>6</v>
      </c>
      <c r="B19" s="164" t="s">
        <v>112</v>
      </c>
      <c r="C19" s="164" t="s">
        <v>109</v>
      </c>
      <c r="D19" s="165" t="s">
        <v>115</v>
      </c>
      <c r="E19" s="337" t="s">
        <v>116</v>
      </c>
      <c r="F19" s="333"/>
      <c r="G19" s="333"/>
      <c r="H19" s="334"/>
      <c r="I19" s="166" t="s">
        <v>117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1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1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1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1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1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1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 x14ac:dyDescent="0.1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1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1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1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1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1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1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1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1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1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1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1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1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1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1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1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1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1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1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1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1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1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1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1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1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1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1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1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1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1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1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1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1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1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1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1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1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1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1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1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1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1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1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1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1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1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1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1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1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1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1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1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1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1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1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1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1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1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1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1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1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1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1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1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1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1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1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1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1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1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1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1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1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1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1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1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1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1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1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1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1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1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1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1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1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1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1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1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1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1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1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1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1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1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1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1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1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1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1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1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1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1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1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1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1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1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1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1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1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1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1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1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1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1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1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1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1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1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1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1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1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1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1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1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1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1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1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1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1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1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1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1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1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1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1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1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1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1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1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1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1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1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1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1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1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1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1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1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1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1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1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1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1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1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1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1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1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1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1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1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1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1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1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1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1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1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1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1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1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1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1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1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1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1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1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1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1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1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1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1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1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1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1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1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1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1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1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1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1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1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1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1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1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1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1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1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1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1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1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1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1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1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1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1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1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1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1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1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1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1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1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1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1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1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1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1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1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1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1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1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1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1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1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1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1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1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1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1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1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1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1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1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1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1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1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1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1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1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1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1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1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1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1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1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1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1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1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1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1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1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1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1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1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1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1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1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1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1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1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1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1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1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1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1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1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1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1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1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1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1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1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1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1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1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1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1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1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1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1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1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1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1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1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1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1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1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1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1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1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1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1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1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1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1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1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1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1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1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1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1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1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1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1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1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1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1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1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1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1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1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1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1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1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1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1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1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1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1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1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1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1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1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1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1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1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1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1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1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1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1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1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1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1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1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1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1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1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1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1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1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1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1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1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1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1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1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1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1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1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1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1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1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1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1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1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1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1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1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1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1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1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1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1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1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1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1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1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1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1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1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1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1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1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1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1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1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1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1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1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1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1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1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1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1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1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1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1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1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1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1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1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1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1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1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1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1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1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1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1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1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1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1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1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1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1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1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1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1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1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1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1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1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1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1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1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1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1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1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1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1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1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1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1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1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1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1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1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1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1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1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1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1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1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1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1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1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1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1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1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1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1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1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1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1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1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1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1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1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1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1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1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1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1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1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1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1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1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1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1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1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1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1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1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1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1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1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1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1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1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1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1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1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1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1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1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1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1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1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1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1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1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1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1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1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1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1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1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1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1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1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1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1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1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1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1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1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1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1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1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1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1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1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1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1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1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1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1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1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1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1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1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1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1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1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1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1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1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1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1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1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1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1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1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1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1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1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1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1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1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1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1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1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1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1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1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1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1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1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1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1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1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1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1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1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1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1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1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1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1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1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1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1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1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1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1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1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1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1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1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1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1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1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1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1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1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1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1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1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1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1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1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1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1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1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1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1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1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1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1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1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1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1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1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1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1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1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1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1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1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1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1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1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1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1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1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1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1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1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1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1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1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1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1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1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1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1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1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1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1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1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1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1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1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1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1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1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1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1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1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1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1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1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1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1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1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1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1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1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1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1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1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1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1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1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1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1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1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1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1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1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1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1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1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1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1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1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1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1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1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1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1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1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1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1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1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1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1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1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1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1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1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1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1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1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1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1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1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1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1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1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1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1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1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1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1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1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1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1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1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1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1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1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1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1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1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1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1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1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1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1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1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1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1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1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1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1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1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1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1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1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1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1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1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1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1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1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1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1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1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1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1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1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1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1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1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1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1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1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1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1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1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1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1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1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1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1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1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1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1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1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1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1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1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1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1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1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1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1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1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1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1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1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1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1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1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1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1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1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1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1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1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1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1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1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1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1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1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1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1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1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1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1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1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1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1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1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1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1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1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1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1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1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1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1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1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1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1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1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1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1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1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1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1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1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1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1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1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1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1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1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1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1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1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1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1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1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1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1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1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1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1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1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1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1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1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1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1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1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1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1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1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1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1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1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1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1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1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1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1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1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1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1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1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1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1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1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1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1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1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1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1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1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1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1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1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1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1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1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1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1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1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1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1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1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1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1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1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1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1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1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1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1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1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1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1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1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1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1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1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1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1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1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1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1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1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1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1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1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1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1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1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1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1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1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1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1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1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1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1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1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1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1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1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1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1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1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1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1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1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1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1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1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1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1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1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1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1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1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1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1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1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1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1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1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1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1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1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1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1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1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1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1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1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1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1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1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1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1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1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1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1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1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1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1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1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1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1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1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1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1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1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1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1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1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1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1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1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1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1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1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1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1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1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1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1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1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1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1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1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1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1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6">
    <mergeCell ref="E6:H6"/>
    <mergeCell ref="E7:H7"/>
    <mergeCell ref="E18:H18"/>
    <mergeCell ref="E19:H19"/>
    <mergeCell ref="E8:H8"/>
    <mergeCell ref="E9:H9"/>
    <mergeCell ref="E13:H13"/>
    <mergeCell ref="E14:H14"/>
    <mergeCell ref="E15:H15"/>
    <mergeCell ref="E16:H16"/>
    <mergeCell ref="E17:H17"/>
    <mergeCell ref="A1:I1"/>
    <mergeCell ref="A2:I2"/>
    <mergeCell ref="E3:H3"/>
    <mergeCell ref="E4:H4"/>
    <mergeCell ref="E5:H5"/>
  </mergeCells>
  <phoneticPr fontId="46" type="noConversion"/>
  <hyperlinks>
    <hyperlink ref="A1" r:id="rId1" xr:uid="{00000000-0004-0000-0200-000000000000}"/>
    <hyperlink ref="A2" r:id="rId2" xr:uid="{00000000-0004-0000-0200-000001000000}"/>
    <hyperlink ref="D4" r:id="rId3" xr:uid="{00000000-0004-0000-0200-000002000000}"/>
    <hyperlink ref="E4" r:id="rId4" xr:uid="{00000000-0004-0000-0200-000003000000}"/>
    <hyperlink ref="D5" r:id="rId5" location="slide=id.g8830a96fa9_0_1349" xr:uid="{00000000-0004-0000-0200-000004000000}"/>
    <hyperlink ref="E5" r:id="rId6" xr:uid="{00000000-0004-0000-0200-000005000000}"/>
    <hyperlink ref="D6" r:id="rId7" location="slide=id.g34617c7ed6d_0_6" xr:uid="{00000000-0004-0000-0200-000006000000}"/>
    <hyperlink ref="E6" r:id="rId8" xr:uid="{00000000-0004-0000-0200-000007000000}"/>
    <hyperlink ref="D7" r:id="rId9" location="gid=1300521795" xr:uid="{00000000-0004-0000-0200-000008000000}"/>
    <hyperlink ref="E7" r:id="rId10" location="gid=1300521795" xr:uid="{00000000-0004-0000-0200-000009000000}"/>
    <hyperlink ref="D8" r:id="rId11" xr:uid="{00000000-0004-0000-0200-00000A000000}"/>
    <hyperlink ref="E8" r:id="rId12" xr:uid="{00000000-0004-0000-0200-00000B000000}"/>
    <hyperlink ref="D9" r:id="rId13" location="gid=730221728" xr:uid="{00000000-0004-0000-0200-00000C000000}"/>
    <hyperlink ref="E9" r:id="rId14" xr:uid="{00000000-0004-0000-0200-00000D000000}"/>
    <hyperlink ref="D14" r:id="rId15" xr:uid="{00000000-0004-0000-0200-00000E000000}"/>
    <hyperlink ref="E14" r:id="rId16" xr:uid="{00000000-0004-0000-0200-00000F000000}"/>
    <hyperlink ref="D15" r:id="rId17" location="slide=id.g8830a96fa9_0_1349" xr:uid="{00000000-0004-0000-0200-000010000000}"/>
    <hyperlink ref="E15" r:id="rId18" xr:uid="{00000000-0004-0000-0200-000011000000}"/>
    <hyperlink ref="D16" r:id="rId19" location="slide=id.g34617c7ed6d_0_6" xr:uid="{00000000-0004-0000-0200-000012000000}"/>
    <hyperlink ref="E16" r:id="rId20" xr:uid="{00000000-0004-0000-0200-000013000000}"/>
    <hyperlink ref="D17" r:id="rId21" location="gid=1300521795" xr:uid="{00000000-0004-0000-0200-000014000000}"/>
    <hyperlink ref="E17" r:id="rId22" location="gid=1300521795" xr:uid="{00000000-0004-0000-0200-000015000000}"/>
    <hyperlink ref="D18" r:id="rId23" xr:uid="{00000000-0004-0000-0200-000016000000}"/>
    <hyperlink ref="E18" r:id="rId24" xr:uid="{00000000-0004-0000-0200-000017000000}"/>
    <hyperlink ref="D19" r:id="rId25" location="gid=730221728" xr:uid="{00000000-0004-0000-0200-000018000000}"/>
    <hyperlink ref="E19" r:id="rId26" xr:uid="{00000000-0004-0000-0200-000019000000}"/>
  </hyperlinks>
  <pageMargins left="0.70078740157480324" right="0.70078740157480324" top="0.75196850393700787" bottom="0.75196850393700787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spans="1:26" ht="13" x14ac:dyDescent="0.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" x14ac:dyDescent="0.15">
      <c r="A2" s="5"/>
      <c r="B2" s="4" t="s">
        <v>118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" x14ac:dyDescent="0.15">
      <c r="A4" s="5"/>
      <c r="B4" s="4" t="s">
        <v>119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" x14ac:dyDescent="0.15">
      <c r="A5" s="5"/>
      <c r="B5" s="167" t="s">
        <v>120</v>
      </c>
      <c r="C5" s="5" t="s">
        <v>120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" x14ac:dyDescent="0.15">
      <c r="A6" s="5"/>
      <c r="B6" s="167" t="s">
        <v>121</v>
      </c>
      <c r="C6" s="5" t="s">
        <v>122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" x14ac:dyDescent="0.15">
      <c r="A7" s="5"/>
      <c r="B7" s="167" t="s">
        <v>123</v>
      </c>
      <c r="C7" s="5" t="s">
        <v>124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" x14ac:dyDescent="0.15">
      <c r="A8" s="5"/>
      <c r="B8" s="167" t="s">
        <v>125</v>
      </c>
      <c r="C8" s="5" t="s">
        <v>126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" x14ac:dyDescent="0.15">
      <c r="A9" s="5"/>
      <c r="B9" s="168" t="s">
        <v>127</v>
      </c>
      <c r="C9" s="169" t="s">
        <v>128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" x14ac:dyDescent="0.15">
      <c r="A10" s="5"/>
      <c r="B10" s="167" t="s">
        <v>129</v>
      </c>
      <c r="C10" s="5" t="s">
        <v>129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" x14ac:dyDescent="0.15">
      <c r="A11" s="5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" x14ac:dyDescent="0.15">
      <c r="A12" s="5"/>
      <c r="B12" s="4" t="s">
        <v>130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" x14ac:dyDescent="0.15">
      <c r="A13" s="5"/>
      <c r="B13" s="168" t="s">
        <v>131</v>
      </c>
      <c r="C13" s="5" t="s">
        <v>132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" x14ac:dyDescent="0.15">
      <c r="A14" s="5"/>
      <c r="B14" s="168" t="s">
        <v>133</v>
      </c>
      <c r="C14" s="5" t="s">
        <v>134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" x14ac:dyDescent="0.15">
      <c r="A15" s="5"/>
      <c r="B15" s="168" t="s">
        <v>135</v>
      </c>
      <c r="C15" s="5" t="s">
        <v>136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" x14ac:dyDescent="0.15">
      <c r="A16" s="5"/>
      <c r="B16" s="168" t="s">
        <v>137</v>
      </c>
      <c r="C16" s="5" t="s">
        <v>138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" x14ac:dyDescent="0.15">
      <c r="A17" s="5"/>
      <c r="B17" s="168" t="s">
        <v>139</v>
      </c>
      <c r="C17" s="5" t="s">
        <v>140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" x14ac:dyDescent="0.15">
      <c r="A18" s="5"/>
      <c r="B18" s="168" t="s">
        <v>141</v>
      </c>
      <c r="C18" s="5" t="s">
        <v>141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15">
      <c r="A22" s="5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15">
      <c r="A23" s="5"/>
      <c r="B23" s="168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46" type="noConversion"/>
  <pageMargins left="0.70078740157480324" right="0.70078740157480324" top="0.75196850393700787" bottom="0.75196850393700787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00"/>
  <sheetViews>
    <sheetView workbookViewId="0"/>
  </sheetViews>
  <sheetFormatPr baseColWidth="10" defaultColWidth="12.6640625" defaultRowHeight="15" customHeight="1" x14ac:dyDescent="0.15"/>
  <cols>
    <col min="1" max="6" width="12.6640625" customWidth="1"/>
    <col min="7" max="7" width="15.83203125" customWidth="1"/>
    <col min="8" max="9" width="12.6640625" customWidth="1"/>
    <col min="10" max="10" width="19.1640625" customWidth="1"/>
    <col min="11" max="11" width="22.1640625" customWidth="1"/>
    <col min="12" max="13" width="15.1640625" customWidth="1"/>
  </cols>
  <sheetData>
    <row r="1" spans="1:13" ht="15.75" customHeight="1" x14ac:dyDescent="0.15">
      <c r="A1" s="170" t="s">
        <v>142</v>
      </c>
      <c r="B1" s="171"/>
      <c r="C1" s="171"/>
      <c r="D1" s="171"/>
      <c r="E1" s="171"/>
      <c r="F1" s="172"/>
      <c r="G1" s="171"/>
      <c r="H1" s="173"/>
      <c r="I1" s="173"/>
      <c r="J1" s="173"/>
      <c r="K1" s="173"/>
      <c r="L1" s="173"/>
      <c r="M1" s="173"/>
    </row>
    <row r="2" spans="1:13" ht="15.75" customHeight="1" x14ac:dyDescent="0.15">
      <c r="A2" s="171"/>
      <c r="B2" s="171"/>
      <c r="C2" s="171"/>
      <c r="D2" s="171"/>
      <c r="E2" s="171"/>
      <c r="F2" s="172"/>
      <c r="G2" s="171"/>
      <c r="H2" s="173"/>
      <c r="I2" s="173"/>
      <c r="J2" s="173"/>
      <c r="K2" s="173"/>
      <c r="L2" s="173"/>
      <c r="M2" s="173"/>
    </row>
    <row r="3" spans="1:13" ht="15.75" customHeight="1" x14ac:dyDescent="0.15">
      <c r="A3" s="170" t="s">
        <v>143</v>
      </c>
      <c r="B3" s="171"/>
      <c r="C3" s="171"/>
      <c r="D3" s="171"/>
      <c r="E3" s="171"/>
      <c r="F3" s="172"/>
      <c r="G3" s="171"/>
      <c r="H3" s="173"/>
      <c r="I3" s="173"/>
      <c r="J3" s="170" t="s">
        <v>144</v>
      </c>
      <c r="K3" s="173"/>
      <c r="L3" s="174" t="s">
        <v>145</v>
      </c>
      <c r="M3" s="173"/>
    </row>
    <row r="4" spans="1:13" ht="15.75" customHeight="1" x14ac:dyDescent="0.15">
      <c r="A4" s="175" t="s">
        <v>146</v>
      </c>
      <c r="B4" s="176" t="s">
        <v>147</v>
      </c>
      <c r="C4" s="176" t="s">
        <v>148</v>
      </c>
      <c r="D4" s="176" t="s">
        <v>149</v>
      </c>
      <c r="E4" s="176" t="s">
        <v>150</v>
      </c>
      <c r="F4" s="176" t="s">
        <v>151</v>
      </c>
      <c r="G4" s="176" t="s">
        <v>152</v>
      </c>
      <c r="H4" s="173"/>
      <c r="I4" s="173"/>
      <c r="J4" s="177" t="s">
        <v>153</v>
      </c>
      <c r="K4" s="177" t="s">
        <v>154</v>
      </c>
      <c r="L4" s="177" t="s">
        <v>155</v>
      </c>
      <c r="M4" s="177" t="s">
        <v>156</v>
      </c>
    </row>
    <row r="5" spans="1:13" ht="15.75" customHeight="1" x14ac:dyDescent="0.15">
      <c r="A5" s="178"/>
      <c r="B5" s="179" t="s">
        <v>157</v>
      </c>
      <c r="C5" s="180"/>
      <c r="D5" s="179" t="s">
        <v>158</v>
      </c>
      <c r="E5" s="179">
        <v>1000000</v>
      </c>
      <c r="F5" s="179" t="s">
        <v>159</v>
      </c>
      <c r="G5" s="179" t="s">
        <v>160</v>
      </c>
      <c r="H5" s="173"/>
      <c r="I5" s="173"/>
      <c r="J5" s="181" t="str">
        <f>D5</f>
        <v>Investor 1</v>
      </c>
      <c r="K5" s="182" t="s">
        <v>161</v>
      </c>
      <c r="L5" s="181"/>
      <c r="M5" s="183">
        <f>E5/'Project TRS V_01'!$C$9</f>
        <v>6.6666666666666664E-4</v>
      </c>
    </row>
    <row r="6" spans="1:13" ht="15.75" customHeight="1" x14ac:dyDescent="0.15">
      <c r="A6" s="178"/>
      <c r="B6" s="179" t="s">
        <v>157</v>
      </c>
      <c r="C6" s="180"/>
      <c r="D6" s="179" t="s">
        <v>162</v>
      </c>
      <c r="E6" s="179" t="s">
        <v>160</v>
      </c>
      <c r="F6" s="179" t="s">
        <v>159</v>
      </c>
      <c r="G6" s="179" t="s">
        <v>160</v>
      </c>
      <c r="H6" s="173"/>
      <c r="I6" s="173"/>
      <c r="J6" s="184"/>
      <c r="K6" s="185"/>
      <c r="L6" s="185"/>
      <c r="M6" s="185"/>
    </row>
    <row r="7" spans="1:13" ht="15.75" customHeight="1" x14ac:dyDescent="0.15">
      <c r="A7" s="178"/>
      <c r="B7" s="179" t="s">
        <v>157</v>
      </c>
      <c r="C7" s="180"/>
      <c r="D7" s="179" t="s">
        <v>163</v>
      </c>
      <c r="E7" s="179" t="s">
        <v>160</v>
      </c>
      <c r="F7" s="179" t="s">
        <v>159</v>
      </c>
      <c r="G7" s="179" t="s">
        <v>160</v>
      </c>
      <c r="H7" s="173"/>
      <c r="I7" s="173"/>
      <c r="J7" s="184"/>
      <c r="K7" s="185"/>
      <c r="L7" s="185"/>
      <c r="M7" s="185"/>
    </row>
    <row r="8" spans="1:13" ht="15.75" customHeight="1" x14ac:dyDescent="0.15">
      <c r="A8" s="178"/>
      <c r="B8" s="179" t="s">
        <v>164</v>
      </c>
      <c r="C8" s="180"/>
      <c r="D8" s="179" t="s">
        <v>165</v>
      </c>
      <c r="E8" s="179" t="s">
        <v>160</v>
      </c>
      <c r="F8" s="179" t="s">
        <v>159</v>
      </c>
      <c r="G8" s="179" t="s">
        <v>160</v>
      </c>
      <c r="H8" s="173"/>
      <c r="I8" s="173"/>
      <c r="J8" s="184"/>
      <c r="K8" s="185"/>
      <c r="L8" s="185"/>
      <c r="M8" s="185"/>
    </row>
    <row r="9" spans="1:13" ht="15.75" customHeight="1" x14ac:dyDescent="0.15">
      <c r="A9" s="178"/>
      <c r="B9" s="179" t="s">
        <v>164</v>
      </c>
      <c r="C9" s="180"/>
      <c r="D9" s="179" t="s">
        <v>166</v>
      </c>
      <c r="E9" s="179" t="s">
        <v>160</v>
      </c>
      <c r="F9" s="179" t="s">
        <v>159</v>
      </c>
      <c r="G9" s="179" t="s">
        <v>160</v>
      </c>
      <c r="H9" s="173"/>
      <c r="I9" s="173"/>
      <c r="J9" s="184"/>
      <c r="K9" s="185"/>
      <c r="L9" s="185"/>
      <c r="M9" s="185"/>
    </row>
    <row r="10" spans="1:13" ht="15.75" customHeight="1" x14ac:dyDescent="0.15">
      <c r="A10" s="178"/>
      <c r="B10" s="179" t="s">
        <v>167</v>
      </c>
      <c r="C10" s="180"/>
      <c r="D10" s="179" t="s">
        <v>168</v>
      </c>
      <c r="E10" s="179" t="s">
        <v>160</v>
      </c>
      <c r="F10" s="179" t="s">
        <v>159</v>
      </c>
      <c r="G10" s="179" t="s">
        <v>160</v>
      </c>
      <c r="H10" s="173"/>
      <c r="I10" s="173"/>
      <c r="J10" s="184"/>
      <c r="K10" s="185"/>
      <c r="L10" s="185"/>
      <c r="M10" s="185"/>
    </row>
    <row r="11" spans="1:13" ht="15.75" customHeight="1" x14ac:dyDescent="0.15">
      <c r="A11" s="178"/>
      <c r="B11" s="179" t="s">
        <v>167</v>
      </c>
      <c r="C11" s="180"/>
      <c r="D11" s="179" t="s">
        <v>169</v>
      </c>
      <c r="E11" s="179" t="s">
        <v>160</v>
      </c>
      <c r="F11" s="179" t="s">
        <v>159</v>
      </c>
      <c r="G11" s="179" t="s">
        <v>160</v>
      </c>
      <c r="H11" s="173"/>
      <c r="I11" s="173"/>
      <c r="J11" s="184"/>
      <c r="K11" s="185"/>
      <c r="L11" s="185"/>
      <c r="M11" s="185"/>
    </row>
    <row r="12" spans="1:13" ht="15.75" customHeight="1" x14ac:dyDescent="0.15">
      <c r="A12" s="178"/>
      <c r="B12" s="179" t="s">
        <v>167</v>
      </c>
      <c r="C12" s="180"/>
      <c r="D12" s="179" t="s">
        <v>170</v>
      </c>
      <c r="E12" s="179" t="s">
        <v>160</v>
      </c>
      <c r="F12" s="179" t="s">
        <v>159</v>
      </c>
      <c r="G12" s="179" t="s">
        <v>160</v>
      </c>
      <c r="H12" s="173"/>
      <c r="I12" s="173"/>
      <c r="J12" s="184"/>
      <c r="K12" s="185"/>
      <c r="L12" s="185"/>
      <c r="M12" s="185"/>
    </row>
    <row r="13" spans="1:13" ht="15.75" customHeight="1" x14ac:dyDescent="0.15">
      <c r="A13" s="178"/>
      <c r="B13" s="179" t="s">
        <v>171</v>
      </c>
      <c r="C13" s="180"/>
      <c r="D13" s="179" t="s">
        <v>172</v>
      </c>
      <c r="E13" s="179" t="s">
        <v>160</v>
      </c>
      <c r="F13" s="179" t="s">
        <v>159</v>
      </c>
      <c r="G13" s="179" t="s">
        <v>160</v>
      </c>
      <c r="H13" s="173"/>
      <c r="I13" s="173"/>
      <c r="J13" s="184"/>
      <c r="K13" s="185"/>
      <c r="L13" s="185"/>
      <c r="M13" s="185"/>
    </row>
    <row r="14" spans="1:13" ht="15.75" customHeight="1" x14ac:dyDescent="0.15">
      <c r="A14" s="178"/>
      <c r="B14" s="179" t="s">
        <v>171</v>
      </c>
      <c r="C14" s="180"/>
      <c r="D14" s="179" t="s">
        <v>173</v>
      </c>
      <c r="E14" s="179" t="s">
        <v>160</v>
      </c>
      <c r="F14" s="179" t="s">
        <v>159</v>
      </c>
      <c r="G14" s="179" t="s">
        <v>160</v>
      </c>
      <c r="H14" s="173"/>
      <c r="I14" s="173"/>
      <c r="J14" s="184"/>
      <c r="K14" s="185"/>
      <c r="L14" s="185"/>
      <c r="M14" s="185"/>
    </row>
    <row r="15" spans="1:13" ht="15.75" customHeight="1" x14ac:dyDescent="0.15">
      <c r="A15" s="178"/>
      <c r="B15" s="179" t="s">
        <v>171</v>
      </c>
      <c r="C15" s="180"/>
      <c r="D15" s="179" t="s">
        <v>174</v>
      </c>
      <c r="E15" s="179" t="s">
        <v>160</v>
      </c>
      <c r="F15" s="179" t="s">
        <v>159</v>
      </c>
      <c r="G15" s="179" t="s">
        <v>160</v>
      </c>
      <c r="H15" s="173"/>
      <c r="I15" s="173"/>
      <c r="J15" s="173"/>
      <c r="K15" s="173"/>
      <c r="L15" s="173"/>
      <c r="M15" s="173"/>
    </row>
    <row r="16" spans="1:13" ht="15.75" customHeight="1" x14ac:dyDescent="0.15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</row>
    <row r="17" spans="1:13" ht="15.75" customHeight="1" x14ac:dyDescent="0.15">
      <c r="A17" s="170" t="s">
        <v>175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spans="1:13" ht="15.75" customHeight="1" x14ac:dyDescent="0.15">
      <c r="A18" s="175" t="s">
        <v>146</v>
      </c>
      <c r="B18" s="176" t="s">
        <v>176</v>
      </c>
      <c r="C18" s="176" t="s">
        <v>177</v>
      </c>
      <c r="D18" s="176" t="s">
        <v>150</v>
      </c>
      <c r="E18" s="176" t="s">
        <v>151</v>
      </c>
      <c r="F18" s="176" t="s">
        <v>152</v>
      </c>
      <c r="G18" s="173"/>
      <c r="H18" s="173"/>
      <c r="I18" s="173"/>
      <c r="J18" s="173"/>
      <c r="K18" s="173"/>
      <c r="L18" s="173"/>
      <c r="M18" s="173"/>
    </row>
    <row r="19" spans="1:13" ht="15.75" customHeight="1" x14ac:dyDescent="0.15">
      <c r="A19" s="186"/>
      <c r="B19" s="187" t="s">
        <v>178</v>
      </c>
      <c r="C19" s="188"/>
      <c r="D19" s="187">
        <v>1000000</v>
      </c>
      <c r="E19" s="187" t="s">
        <v>159</v>
      </c>
      <c r="F19" s="187" t="s">
        <v>160</v>
      </c>
      <c r="G19" s="173"/>
      <c r="H19" s="173"/>
      <c r="I19" s="173"/>
      <c r="J19" s="173"/>
      <c r="K19" s="173"/>
      <c r="L19" s="173"/>
      <c r="M19" s="173"/>
    </row>
    <row r="20" spans="1:13" ht="15.75" customHeight="1" x14ac:dyDescent="0.15">
      <c r="A20" s="178"/>
      <c r="B20" s="179" t="s">
        <v>179</v>
      </c>
      <c r="C20" s="180"/>
      <c r="D20" s="179" t="s">
        <v>160</v>
      </c>
      <c r="E20" s="179" t="s">
        <v>159</v>
      </c>
      <c r="F20" s="179" t="s">
        <v>160</v>
      </c>
      <c r="G20" s="173"/>
      <c r="H20" s="173"/>
      <c r="I20" s="173"/>
      <c r="J20" s="173"/>
      <c r="K20" s="173"/>
      <c r="L20" s="173"/>
      <c r="M20" s="173"/>
    </row>
    <row r="21" spans="1:13" ht="15.75" customHeight="1" x14ac:dyDescent="0.15">
      <c r="A21" s="178"/>
      <c r="B21" s="179" t="s">
        <v>180</v>
      </c>
      <c r="C21" s="180"/>
      <c r="D21" s="179" t="s">
        <v>160</v>
      </c>
      <c r="E21" s="179" t="s">
        <v>159</v>
      </c>
      <c r="F21" s="179" t="s">
        <v>160</v>
      </c>
      <c r="G21" s="173"/>
      <c r="H21" s="173"/>
      <c r="I21" s="173"/>
      <c r="J21" s="173"/>
      <c r="K21" s="173"/>
      <c r="L21" s="173"/>
      <c r="M21" s="173"/>
    </row>
    <row r="22" spans="1:13" ht="15.75" customHeight="1" x14ac:dyDescent="0.15">
      <c r="A22" s="178"/>
      <c r="B22" s="179" t="s">
        <v>181</v>
      </c>
      <c r="C22" s="180"/>
      <c r="D22" s="179" t="s">
        <v>160</v>
      </c>
      <c r="E22" s="179" t="s">
        <v>159</v>
      </c>
      <c r="F22" s="179" t="s">
        <v>160</v>
      </c>
      <c r="G22" s="173"/>
      <c r="H22" s="173"/>
      <c r="I22" s="173"/>
      <c r="J22" s="173"/>
      <c r="K22" s="173"/>
      <c r="L22" s="173"/>
      <c r="M22" s="173"/>
    </row>
    <row r="23" spans="1:13" ht="15.75" customHeight="1" x14ac:dyDescent="0.15">
      <c r="A23" s="178"/>
      <c r="B23" s="179" t="s">
        <v>182</v>
      </c>
      <c r="C23" s="180"/>
      <c r="D23" s="179" t="s">
        <v>160</v>
      </c>
      <c r="E23" s="179" t="s">
        <v>159</v>
      </c>
      <c r="F23" s="179" t="s">
        <v>160</v>
      </c>
      <c r="G23" s="173"/>
      <c r="H23" s="173"/>
      <c r="I23" s="173"/>
      <c r="J23" s="173"/>
      <c r="K23" s="173"/>
      <c r="L23" s="173"/>
      <c r="M23" s="173"/>
    </row>
    <row r="24" spans="1:13" ht="15.75" customHeight="1" x14ac:dyDescent="0.15">
      <c r="A24" s="178"/>
      <c r="B24" s="179" t="s">
        <v>183</v>
      </c>
      <c r="C24" s="180"/>
      <c r="D24" s="179" t="s">
        <v>160</v>
      </c>
      <c r="E24" s="179" t="s">
        <v>159</v>
      </c>
      <c r="F24" s="179" t="s">
        <v>160</v>
      </c>
      <c r="G24" s="173"/>
      <c r="H24" s="173"/>
      <c r="I24" s="173"/>
      <c r="J24" s="173"/>
      <c r="K24" s="173"/>
      <c r="L24" s="173"/>
      <c r="M24" s="173"/>
    </row>
    <row r="25" spans="1:13" ht="15.75" customHeight="1" x14ac:dyDescent="0.15">
      <c r="A25" s="178"/>
      <c r="B25" s="179" t="s">
        <v>184</v>
      </c>
      <c r="C25" s="180"/>
      <c r="D25" s="179" t="s">
        <v>160</v>
      </c>
      <c r="E25" s="179" t="s">
        <v>159</v>
      </c>
      <c r="F25" s="179" t="s">
        <v>160</v>
      </c>
      <c r="G25" s="173"/>
      <c r="H25" s="173"/>
      <c r="I25" s="173"/>
      <c r="J25" s="173"/>
      <c r="K25" s="173"/>
      <c r="L25" s="173"/>
      <c r="M25" s="173"/>
    </row>
    <row r="26" spans="1:13" ht="15.75" customHeight="1" x14ac:dyDescent="0.15">
      <c r="A26" s="178"/>
      <c r="B26" s="179" t="s">
        <v>185</v>
      </c>
      <c r="C26" s="180"/>
      <c r="D26" s="179" t="s">
        <v>160</v>
      </c>
      <c r="E26" s="179" t="s">
        <v>159</v>
      </c>
      <c r="F26" s="179" t="s">
        <v>160</v>
      </c>
      <c r="G26" s="173"/>
      <c r="H26" s="173"/>
      <c r="I26" s="173"/>
      <c r="J26" s="173"/>
      <c r="K26" s="173"/>
      <c r="L26" s="173"/>
      <c r="M26" s="173"/>
    </row>
    <row r="27" spans="1:13" ht="15.75" customHeight="1" x14ac:dyDescent="0.15">
      <c r="A27" s="178"/>
      <c r="B27" s="179" t="s">
        <v>186</v>
      </c>
      <c r="C27" s="180"/>
      <c r="D27" s="179" t="s">
        <v>160</v>
      </c>
      <c r="E27" s="179" t="s">
        <v>159</v>
      </c>
      <c r="F27" s="179" t="s">
        <v>160</v>
      </c>
      <c r="G27" s="173"/>
      <c r="H27" s="173"/>
      <c r="I27" s="173"/>
      <c r="J27" s="173"/>
      <c r="K27" s="173"/>
      <c r="L27" s="173"/>
      <c r="M27" s="173"/>
    </row>
    <row r="28" spans="1:13" ht="15.75" customHeight="1" x14ac:dyDescent="0.15">
      <c r="A28" s="178"/>
      <c r="B28" s="179" t="s">
        <v>187</v>
      </c>
      <c r="C28" s="180"/>
      <c r="D28" s="179" t="s">
        <v>160</v>
      </c>
      <c r="E28" s="179" t="s">
        <v>159</v>
      </c>
      <c r="F28" s="179" t="s">
        <v>160</v>
      </c>
      <c r="G28" s="173"/>
      <c r="H28" s="173"/>
      <c r="I28" s="173"/>
      <c r="J28" s="173"/>
      <c r="K28" s="173"/>
      <c r="L28" s="173"/>
      <c r="M28" s="173"/>
    </row>
    <row r="29" spans="1:13" ht="15.75" customHeight="1" x14ac:dyDescent="0.15">
      <c r="A29" s="178"/>
      <c r="B29" s="179" t="s">
        <v>188</v>
      </c>
      <c r="C29" s="180"/>
      <c r="D29" s="179" t="s">
        <v>160</v>
      </c>
      <c r="E29" s="179" t="s">
        <v>159</v>
      </c>
      <c r="F29" s="179" t="s">
        <v>160</v>
      </c>
      <c r="G29" s="173"/>
      <c r="H29" s="173"/>
      <c r="I29" s="173"/>
      <c r="J29" s="173"/>
      <c r="K29" s="173"/>
      <c r="L29" s="173"/>
      <c r="M29" s="173"/>
    </row>
    <row r="30" spans="1:13" ht="15.75" customHeight="1" x14ac:dyDescent="0.15">
      <c r="A30" s="173"/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</row>
    <row r="31" spans="1:13" ht="15.75" customHeight="1" x14ac:dyDescent="0.15">
      <c r="A31" s="170" t="s">
        <v>189</v>
      </c>
      <c r="B31" s="173"/>
      <c r="C31" s="173"/>
      <c r="D31" s="173"/>
      <c r="E31" s="173"/>
      <c r="F31" s="173"/>
      <c r="G31" s="173"/>
      <c r="H31" s="173"/>
      <c r="I31" s="173"/>
      <c r="J31" s="189" t="s">
        <v>190</v>
      </c>
      <c r="K31" s="190"/>
      <c r="L31" s="190"/>
      <c r="M31" s="190"/>
    </row>
    <row r="32" spans="1:13" ht="15.75" customHeight="1" x14ac:dyDescent="0.15">
      <c r="A32" s="175" t="s">
        <v>146</v>
      </c>
      <c r="B32" s="176" t="s">
        <v>191</v>
      </c>
      <c r="C32" s="176" t="s">
        <v>177</v>
      </c>
      <c r="D32" s="176" t="s">
        <v>150</v>
      </c>
      <c r="E32" s="176" t="s">
        <v>151</v>
      </c>
      <c r="F32" s="176" t="s">
        <v>152</v>
      </c>
      <c r="G32" s="173"/>
      <c r="H32" s="173"/>
      <c r="I32" s="191"/>
      <c r="J32" s="192" t="s">
        <v>153</v>
      </c>
      <c r="K32" s="192" t="s">
        <v>154</v>
      </c>
      <c r="L32" s="193" t="s">
        <v>192</v>
      </c>
      <c r="M32" s="193" t="s">
        <v>193</v>
      </c>
    </row>
    <row r="33" spans="1:13" ht="15.75" customHeight="1" x14ac:dyDescent="0.15">
      <c r="A33" s="186"/>
      <c r="B33" s="187" t="s">
        <v>178</v>
      </c>
      <c r="C33" s="188"/>
      <c r="D33" s="187">
        <v>1000000</v>
      </c>
      <c r="E33" s="187" t="s">
        <v>159</v>
      </c>
      <c r="F33" s="187" t="s">
        <v>160</v>
      </c>
      <c r="G33" s="173"/>
      <c r="H33" s="173"/>
      <c r="I33" s="191"/>
      <c r="J33" s="194" t="s">
        <v>194</v>
      </c>
      <c r="K33" s="195" t="s">
        <v>161</v>
      </c>
      <c r="L33" s="194"/>
      <c r="M33" s="196" t="s">
        <v>195</v>
      </c>
    </row>
    <row r="34" spans="1:13" ht="15.75" customHeight="1" x14ac:dyDescent="0.15">
      <c r="A34" s="178"/>
      <c r="B34" s="179" t="s">
        <v>179</v>
      </c>
      <c r="C34" s="180"/>
      <c r="D34" s="179" t="s">
        <v>160</v>
      </c>
      <c r="E34" s="179" t="s">
        <v>159</v>
      </c>
      <c r="F34" s="179" t="s">
        <v>160</v>
      </c>
      <c r="G34" s="173"/>
      <c r="H34" s="173"/>
      <c r="I34" s="191"/>
      <c r="J34" s="197" t="s">
        <v>196</v>
      </c>
      <c r="K34" s="195" t="s">
        <v>161</v>
      </c>
      <c r="L34" s="198"/>
      <c r="M34" s="198"/>
    </row>
    <row r="35" spans="1:13" ht="15.75" customHeight="1" x14ac:dyDescent="0.15">
      <c r="A35" s="178"/>
      <c r="B35" s="179" t="s">
        <v>180</v>
      </c>
      <c r="C35" s="180"/>
      <c r="D35" s="179" t="s">
        <v>160</v>
      </c>
      <c r="E35" s="179" t="s">
        <v>159</v>
      </c>
      <c r="F35" s="179" t="s">
        <v>160</v>
      </c>
      <c r="G35" s="173"/>
      <c r="H35" s="173"/>
      <c r="I35" s="191"/>
      <c r="J35" s="197" t="s">
        <v>197</v>
      </c>
      <c r="K35" s="198"/>
      <c r="L35" s="198" t="s">
        <v>198</v>
      </c>
      <c r="M35" s="198"/>
    </row>
    <row r="36" spans="1:13" ht="15.75" customHeight="1" x14ac:dyDescent="0.15">
      <c r="A36" s="178"/>
      <c r="B36" s="179" t="s">
        <v>181</v>
      </c>
      <c r="C36" s="180"/>
      <c r="D36" s="179" t="s">
        <v>160</v>
      </c>
      <c r="E36" s="179" t="s">
        <v>159</v>
      </c>
      <c r="F36" s="179" t="s">
        <v>160</v>
      </c>
      <c r="G36" s="173"/>
      <c r="H36" s="173"/>
      <c r="I36" s="191"/>
      <c r="J36" s="197" t="s">
        <v>196</v>
      </c>
      <c r="K36" s="195" t="s">
        <v>161</v>
      </c>
      <c r="L36" s="198"/>
      <c r="M36" s="198"/>
    </row>
    <row r="37" spans="1:13" ht="15.75" customHeight="1" x14ac:dyDescent="0.15">
      <c r="A37" s="178"/>
      <c r="B37" s="179" t="s">
        <v>182</v>
      </c>
      <c r="C37" s="180"/>
      <c r="D37" s="179" t="s">
        <v>160</v>
      </c>
      <c r="E37" s="179" t="s">
        <v>159</v>
      </c>
      <c r="F37" s="179" t="s">
        <v>160</v>
      </c>
      <c r="G37" s="173"/>
      <c r="H37" s="173"/>
      <c r="I37" s="191"/>
      <c r="J37" s="197" t="s">
        <v>199</v>
      </c>
      <c r="K37" s="198"/>
      <c r="L37" s="198"/>
      <c r="M37" s="198"/>
    </row>
    <row r="38" spans="1:13" ht="15.75" customHeight="1" x14ac:dyDescent="0.15">
      <c r="A38" s="178"/>
      <c r="B38" s="179" t="s">
        <v>183</v>
      </c>
      <c r="C38" s="180"/>
      <c r="D38" s="179" t="s">
        <v>160</v>
      </c>
      <c r="E38" s="179" t="s">
        <v>159</v>
      </c>
      <c r="F38" s="179" t="s">
        <v>160</v>
      </c>
      <c r="G38" s="173"/>
      <c r="H38" s="173"/>
      <c r="I38" s="191"/>
      <c r="J38" s="197"/>
      <c r="K38" s="198"/>
      <c r="L38" s="198"/>
      <c r="M38" s="198"/>
    </row>
    <row r="39" spans="1:13" ht="15.75" customHeight="1" x14ac:dyDescent="0.15">
      <c r="A39" s="178"/>
      <c r="B39" s="179" t="s">
        <v>184</v>
      </c>
      <c r="C39" s="180"/>
      <c r="D39" s="179" t="s">
        <v>160</v>
      </c>
      <c r="E39" s="179" t="s">
        <v>159</v>
      </c>
      <c r="F39" s="179" t="s">
        <v>160</v>
      </c>
      <c r="G39" s="173"/>
      <c r="H39" s="173"/>
      <c r="I39" s="191"/>
      <c r="J39" s="197"/>
      <c r="K39" s="198"/>
      <c r="L39" s="198"/>
      <c r="M39" s="198"/>
    </row>
    <row r="40" spans="1:13" ht="15.75" customHeight="1" x14ac:dyDescent="0.15">
      <c r="A40" s="178"/>
      <c r="B40" s="179" t="s">
        <v>185</v>
      </c>
      <c r="C40" s="180"/>
      <c r="D40" s="179" t="s">
        <v>160</v>
      </c>
      <c r="E40" s="179" t="s">
        <v>159</v>
      </c>
      <c r="F40" s="179" t="s">
        <v>160</v>
      </c>
      <c r="G40" s="173"/>
      <c r="H40" s="173"/>
      <c r="I40" s="191"/>
      <c r="J40" s="197"/>
      <c r="K40" s="198"/>
      <c r="L40" s="198"/>
      <c r="M40" s="198"/>
    </row>
    <row r="41" spans="1:13" ht="15.75" customHeight="1" x14ac:dyDescent="0.15">
      <c r="A41" s="178"/>
      <c r="B41" s="179" t="s">
        <v>186</v>
      </c>
      <c r="C41" s="180"/>
      <c r="D41" s="179" t="s">
        <v>160</v>
      </c>
      <c r="E41" s="179" t="s">
        <v>159</v>
      </c>
      <c r="F41" s="179" t="s">
        <v>160</v>
      </c>
      <c r="G41" s="173"/>
      <c r="H41" s="173"/>
      <c r="I41" s="191"/>
      <c r="J41" s="197"/>
      <c r="K41" s="198"/>
      <c r="L41" s="198"/>
      <c r="M41" s="198"/>
    </row>
    <row r="42" spans="1:13" ht="15.75" customHeight="1" x14ac:dyDescent="0.15">
      <c r="A42" s="178"/>
      <c r="B42" s="179" t="s">
        <v>187</v>
      </c>
      <c r="C42" s="180"/>
      <c r="D42" s="179" t="s">
        <v>160</v>
      </c>
      <c r="E42" s="179" t="s">
        <v>159</v>
      </c>
      <c r="F42" s="179" t="s">
        <v>160</v>
      </c>
      <c r="G42" s="173"/>
      <c r="H42" s="173"/>
      <c r="I42" s="191"/>
      <c r="J42" s="197"/>
      <c r="K42" s="198"/>
      <c r="L42" s="198"/>
      <c r="M42" s="198"/>
    </row>
    <row r="43" spans="1:13" ht="15.75" customHeight="1" x14ac:dyDescent="0.15">
      <c r="A43" s="178"/>
      <c r="B43" s="179" t="s">
        <v>188</v>
      </c>
      <c r="C43" s="180"/>
      <c r="D43" s="179" t="s">
        <v>160</v>
      </c>
      <c r="E43" s="179" t="s">
        <v>159</v>
      </c>
      <c r="F43" s="179" t="s">
        <v>160</v>
      </c>
      <c r="G43" s="173"/>
      <c r="H43" s="173"/>
      <c r="I43" s="173"/>
      <c r="J43" s="173"/>
      <c r="K43" s="173"/>
      <c r="L43" s="173"/>
      <c r="M43" s="173"/>
    </row>
    <row r="44" spans="1:13" ht="15.75" customHeight="1" x14ac:dyDescent="0.15"/>
    <row r="45" spans="1:13" ht="15.75" customHeight="1" x14ac:dyDescent="0.15"/>
    <row r="46" spans="1:13" ht="15.75" customHeight="1" x14ac:dyDescent="0.15"/>
    <row r="47" spans="1:13" ht="15.75" customHeight="1" x14ac:dyDescent="0.15"/>
    <row r="48" spans="1:1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46" type="noConversion"/>
  <pageMargins left="0.70078740157480324" right="0.70078740157480324" top="0.75196850393700787" bottom="0.75196850393700787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I3:J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3" spans="9:10" ht="13" x14ac:dyDescent="0.15">
      <c r="I3" s="4" t="s">
        <v>118</v>
      </c>
    </row>
    <row r="5" spans="9:10" ht="13" x14ac:dyDescent="0.15">
      <c r="I5" s="170" t="s">
        <v>119</v>
      </c>
      <c r="J5" s="174" t="s">
        <v>120</v>
      </c>
    </row>
    <row r="6" spans="9:10" ht="13" x14ac:dyDescent="0.15">
      <c r="J6" s="174" t="s">
        <v>122</v>
      </c>
    </row>
    <row r="7" spans="9:10" ht="13" x14ac:dyDescent="0.15">
      <c r="J7" s="174" t="s">
        <v>124</v>
      </c>
    </row>
    <row r="8" spans="9:10" ht="13" x14ac:dyDescent="0.15">
      <c r="J8" s="174" t="s">
        <v>126</v>
      </c>
    </row>
    <row r="9" spans="9:10" ht="13" x14ac:dyDescent="0.15">
      <c r="J9" s="199" t="s">
        <v>128</v>
      </c>
    </row>
    <row r="10" spans="9:10" ht="13" x14ac:dyDescent="0.15">
      <c r="J10" s="174" t="s">
        <v>129</v>
      </c>
    </row>
    <row r="12" spans="9:10" ht="13" x14ac:dyDescent="0.15">
      <c r="I12" s="170" t="s">
        <v>130</v>
      </c>
      <c r="J12" s="174" t="s">
        <v>132</v>
      </c>
    </row>
    <row r="13" spans="9:10" ht="13" x14ac:dyDescent="0.15">
      <c r="J13" s="174" t="s">
        <v>134</v>
      </c>
    </row>
    <row r="14" spans="9:10" ht="13" x14ac:dyDescent="0.15">
      <c r="J14" s="174" t="s">
        <v>136</v>
      </c>
    </row>
    <row r="15" spans="9:10" ht="13" x14ac:dyDescent="0.15">
      <c r="J15" s="174"/>
    </row>
    <row r="16" spans="9:10" ht="13" x14ac:dyDescent="0.15">
      <c r="J16" s="174" t="s">
        <v>138</v>
      </c>
    </row>
    <row r="17" spans="9:10" ht="13" x14ac:dyDescent="0.15">
      <c r="J17" s="174" t="s">
        <v>140</v>
      </c>
    </row>
    <row r="18" spans="9:10" ht="13" x14ac:dyDescent="0.15">
      <c r="J18" s="174" t="s">
        <v>141</v>
      </c>
    </row>
    <row r="21" spans="9:10" ht="15.75" customHeight="1" x14ac:dyDescent="0.15"/>
    <row r="22" spans="9:10" ht="15.75" customHeight="1" x14ac:dyDescent="0.15"/>
    <row r="23" spans="9:10" ht="15.75" customHeight="1" x14ac:dyDescent="0.15">
      <c r="I23" s="170" t="s">
        <v>200</v>
      </c>
      <c r="J23" s="174" t="s">
        <v>201</v>
      </c>
    </row>
    <row r="24" spans="9:10" ht="15.75" customHeight="1" x14ac:dyDescent="0.15">
      <c r="J24" s="174" t="s">
        <v>202</v>
      </c>
    </row>
    <row r="25" spans="9:10" ht="15.75" customHeight="1" x14ac:dyDescent="0.15"/>
    <row r="26" spans="9:10" ht="15.75" customHeight="1" x14ac:dyDescent="0.15"/>
    <row r="27" spans="9:10" ht="15.75" customHeight="1" x14ac:dyDescent="0.15"/>
    <row r="28" spans="9:10" ht="15.75" customHeight="1" x14ac:dyDescent="0.15"/>
    <row r="29" spans="9:10" ht="15.75" customHeight="1" x14ac:dyDescent="0.15"/>
    <row r="30" spans="9:10" ht="15.75" customHeight="1" x14ac:dyDescent="0.15"/>
    <row r="31" spans="9:10" ht="15.75" customHeight="1" x14ac:dyDescent="0.15"/>
    <row r="32" spans="9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46" type="noConversion"/>
  <pageMargins left="0.70078740157480324" right="0.70078740157480324" top="0.75196850393700787" bottom="0.75196850393700787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X1000"/>
  <sheetViews>
    <sheetView workbookViewId="0"/>
  </sheetViews>
  <sheetFormatPr baseColWidth="10" defaultColWidth="12.6640625" defaultRowHeight="15" customHeight="1" x14ac:dyDescent="0.15"/>
  <cols>
    <col min="1" max="1" width="10.6640625" customWidth="1"/>
    <col min="2" max="2" width="30.6640625" customWidth="1"/>
    <col min="3" max="11" width="18.33203125" customWidth="1"/>
    <col min="12" max="12" width="15.33203125" customWidth="1"/>
    <col min="13" max="13" width="17.1640625" customWidth="1"/>
    <col min="14" max="14" width="17.83203125" customWidth="1"/>
  </cols>
  <sheetData>
    <row r="1" spans="1:24" ht="15.75" customHeight="1" x14ac:dyDescent="0.15">
      <c r="A1" s="200"/>
      <c r="B1" s="201" t="s">
        <v>0</v>
      </c>
      <c r="C1" s="202" t="s">
        <v>1</v>
      </c>
      <c r="D1" s="203" t="s">
        <v>2</v>
      </c>
      <c r="E1" s="170" t="s">
        <v>203</v>
      </c>
      <c r="F1" s="4"/>
      <c r="G1" s="4"/>
      <c r="H1" s="204"/>
      <c r="I1" s="4"/>
      <c r="J1" s="4"/>
      <c r="K1" s="4"/>
      <c r="L1" s="4"/>
      <c r="M1" s="4"/>
      <c r="N1" s="5"/>
    </row>
    <row r="2" spans="1:24" ht="15.75" customHeight="1" x14ac:dyDescent="0.15">
      <c r="A2" s="205"/>
      <c r="B2" s="206" t="s">
        <v>3</v>
      </c>
      <c r="C2" s="207">
        <v>100000000</v>
      </c>
      <c r="D2" s="208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24" ht="15.75" customHeight="1" x14ac:dyDescent="0.15">
      <c r="A3" s="200"/>
      <c r="B3" s="209" t="s">
        <v>4</v>
      </c>
      <c r="C3" s="210">
        <f ca="1">TODAY()</f>
        <v>45876</v>
      </c>
      <c r="D3" s="208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4" ht="15.75" customHeight="1" x14ac:dyDescent="0.15">
      <c r="A4" s="211"/>
      <c r="B4" s="209" t="s">
        <v>204</v>
      </c>
      <c r="C4" s="210">
        <f ca="1">B31</f>
        <v>45930</v>
      </c>
      <c r="D4" s="212"/>
      <c r="E4" s="213"/>
      <c r="F4" s="213"/>
      <c r="G4" s="213"/>
      <c r="H4" s="213"/>
      <c r="I4" s="213"/>
      <c r="J4" s="213"/>
      <c r="K4" s="213"/>
      <c r="L4" s="4"/>
      <c r="M4" s="4"/>
      <c r="N4" s="4"/>
    </row>
    <row r="5" spans="1:24" ht="15.75" customHeight="1" x14ac:dyDescent="0.15">
      <c r="A5" s="214"/>
      <c r="B5" s="215" t="s">
        <v>205</v>
      </c>
      <c r="C5" s="216">
        <f>$L$31*$C$12</f>
        <v>17000000</v>
      </c>
      <c r="D5" s="217"/>
      <c r="E5" s="213"/>
      <c r="F5" s="213"/>
      <c r="G5" s="213"/>
      <c r="H5" s="213"/>
      <c r="I5" s="213"/>
      <c r="J5" s="213"/>
      <c r="K5" s="213"/>
      <c r="L5" s="4"/>
      <c r="M5" s="4"/>
      <c r="N5" s="4"/>
    </row>
    <row r="6" spans="1:24" ht="15.75" customHeight="1" x14ac:dyDescent="0.15">
      <c r="A6" s="214"/>
      <c r="B6" s="214"/>
      <c r="D6" s="213"/>
      <c r="E6" s="213"/>
      <c r="F6" s="213"/>
      <c r="G6" s="213"/>
      <c r="H6" s="213"/>
      <c r="I6" s="213"/>
      <c r="J6" s="213"/>
      <c r="K6" s="213"/>
      <c r="L6" s="4"/>
      <c r="M6" s="4"/>
      <c r="N6" s="4"/>
    </row>
    <row r="7" spans="1:24" ht="15.75" customHeight="1" x14ac:dyDescent="0.15">
      <c r="A7" s="214"/>
      <c r="B7" s="214"/>
      <c r="D7" s="213"/>
      <c r="E7" s="213"/>
      <c r="F7" s="213"/>
      <c r="G7" s="213"/>
      <c r="H7" s="213"/>
      <c r="I7" s="213"/>
      <c r="J7" s="213"/>
      <c r="K7" s="213"/>
      <c r="L7" s="4"/>
      <c r="M7" s="4"/>
      <c r="N7" s="4"/>
    </row>
    <row r="8" spans="1:24" ht="15.75" customHeight="1" x14ac:dyDescent="0.15">
      <c r="A8" s="218"/>
      <c r="B8" s="219" t="s">
        <v>206</v>
      </c>
      <c r="C8" s="220" t="s">
        <v>6</v>
      </c>
      <c r="D8" s="221" t="s">
        <v>207</v>
      </c>
      <c r="E8" s="221" t="s">
        <v>208</v>
      </c>
      <c r="F8" s="221" t="s">
        <v>8</v>
      </c>
      <c r="G8" s="221" t="s">
        <v>209</v>
      </c>
      <c r="H8" s="221" t="s">
        <v>210</v>
      </c>
      <c r="I8" s="221" t="s">
        <v>211</v>
      </c>
      <c r="J8" s="221" t="s">
        <v>10</v>
      </c>
      <c r="K8" s="221" t="s">
        <v>10</v>
      </c>
      <c r="L8" s="222" t="s">
        <v>14</v>
      </c>
      <c r="M8" s="4"/>
      <c r="N8" s="4"/>
      <c r="P8" s="223" t="s">
        <v>6</v>
      </c>
      <c r="Q8" s="223" t="s">
        <v>7</v>
      </c>
      <c r="R8" s="223" t="s">
        <v>8</v>
      </c>
      <c r="S8" s="223" t="s">
        <v>9</v>
      </c>
      <c r="T8" s="223" t="s">
        <v>212</v>
      </c>
      <c r="U8" s="223" t="s">
        <v>208</v>
      </c>
      <c r="V8" s="223" t="s">
        <v>211</v>
      </c>
      <c r="W8" s="223" t="s">
        <v>10</v>
      </c>
      <c r="X8" s="223" t="s">
        <v>10</v>
      </c>
    </row>
    <row r="9" spans="1:24" ht="15.75" customHeight="1" x14ac:dyDescent="0.15">
      <c r="A9" s="200"/>
      <c r="B9" s="201" t="s">
        <v>213</v>
      </c>
      <c r="C9" s="224">
        <v>43466</v>
      </c>
      <c r="D9" s="225">
        <v>43466</v>
      </c>
      <c r="E9" s="225">
        <v>43466</v>
      </c>
      <c r="F9" s="226" t="s">
        <v>214</v>
      </c>
      <c r="G9" s="226" t="s">
        <v>214</v>
      </c>
      <c r="H9" s="226" t="s">
        <v>214</v>
      </c>
      <c r="I9" s="226" t="s">
        <v>214</v>
      </c>
      <c r="J9" s="225">
        <v>43466</v>
      </c>
      <c r="K9" s="225">
        <v>43466</v>
      </c>
      <c r="L9" s="227"/>
      <c r="M9" s="4"/>
      <c r="N9" s="4"/>
    </row>
    <row r="10" spans="1:24" ht="15.75" customHeight="1" x14ac:dyDescent="0.15">
      <c r="A10" s="200"/>
      <c r="B10" s="209" t="s">
        <v>50</v>
      </c>
      <c r="C10" s="228">
        <f>$C$2-SUM(D10:K10)</f>
        <v>25000000</v>
      </c>
      <c r="D10" s="229">
        <v>10000000</v>
      </c>
      <c r="E10" s="229">
        <v>10000000</v>
      </c>
      <c r="F10" s="229">
        <v>15000000</v>
      </c>
      <c r="G10" s="229">
        <v>20000000</v>
      </c>
      <c r="H10" s="229">
        <v>0</v>
      </c>
      <c r="I10" s="229">
        <v>20000000</v>
      </c>
      <c r="J10" s="229">
        <v>0</v>
      </c>
      <c r="K10" s="229">
        <v>0</v>
      </c>
      <c r="L10" s="230">
        <f t="shared" ref="L10:L11" si="0">SUM(C10:K10)</f>
        <v>100000000</v>
      </c>
      <c r="M10" s="231" t="b">
        <f>L10=C2</f>
        <v>1</v>
      </c>
      <c r="N10" s="4"/>
    </row>
    <row r="11" spans="1:24" ht="15.75" customHeight="1" x14ac:dyDescent="0.15">
      <c r="A11" s="200"/>
      <c r="B11" s="209" t="s">
        <v>215</v>
      </c>
      <c r="C11" s="232">
        <f t="shared" ref="C11:K11" si="1">IFERROR(C10/$L$10,"")</f>
        <v>0.25</v>
      </c>
      <c r="D11" s="232">
        <f t="shared" si="1"/>
        <v>0.1</v>
      </c>
      <c r="E11" s="232">
        <f t="shared" si="1"/>
        <v>0.1</v>
      </c>
      <c r="F11" s="232">
        <f t="shared" si="1"/>
        <v>0.15</v>
      </c>
      <c r="G11" s="232">
        <f t="shared" si="1"/>
        <v>0.2</v>
      </c>
      <c r="H11" s="232">
        <f t="shared" si="1"/>
        <v>0</v>
      </c>
      <c r="I11" s="232">
        <f t="shared" si="1"/>
        <v>0.2</v>
      </c>
      <c r="J11" s="232">
        <f t="shared" si="1"/>
        <v>0</v>
      </c>
      <c r="K11" s="232">
        <f t="shared" si="1"/>
        <v>0</v>
      </c>
      <c r="L11" s="233">
        <f t="shared" si="0"/>
        <v>1</v>
      </c>
      <c r="M11" s="4"/>
      <c r="N11" s="4"/>
    </row>
    <row r="12" spans="1:24" ht="15.75" customHeight="1" x14ac:dyDescent="0.15">
      <c r="A12" s="200"/>
      <c r="B12" s="209" t="s">
        <v>54</v>
      </c>
      <c r="C12" s="234">
        <v>0.5</v>
      </c>
      <c r="D12" s="234">
        <v>0.2</v>
      </c>
      <c r="E12" s="234">
        <v>0.1</v>
      </c>
      <c r="F12" s="235" t="s">
        <v>216</v>
      </c>
      <c r="G12" s="235" t="s">
        <v>216</v>
      </c>
      <c r="H12" s="235" t="s">
        <v>216</v>
      </c>
      <c r="I12" s="235" t="s">
        <v>216</v>
      </c>
      <c r="J12" s="236"/>
      <c r="K12" s="236"/>
      <c r="L12" s="237" t="s">
        <v>216</v>
      </c>
      <c r="M12" s="4"/>
      <c r="N12" s="4"/>
    </row>
    <row r="13" spans="1:24" ht="15.75" customHeight="1" x14ac:dyDescent="0.15">
      <c r="A13" s="200"/>
      <c r="B13" s="209" t="s">
        <v>55</v>
      </c>
      <c r="C13" s="238">
        <f t="shared" ref="C13:K13" si="2">IFERROR(C12*C10,"-")</f>
        <v>12500000</v>
      </c>
      <c r="D13" s="238">
        <f t="shared" si="2"/>
        <v>2000000</v>
      </c>
      <c r="E13" s="238">
        <f t="shared" si="2"/>
        <v>1000000</v>
      </c>
      <c r="F13" s="238" t="str">
        <f t="shared" si="2"/>
        <v>-</v>
      </c>
      <c r="G13" s="238" t="str">
        <f t="shared" si="2"/>
        <v>-</v>
      </c>
      <c r="H13" s="238" t="str">
        <f t="shared" si="2"/>
        <v>-</v>
      </c>
      <c r="I13" s="238" t="str">
        <f t="shared" si="2"/>
        <v>-</v>
      </c>
      <c r="J13" s="238">
        <f t="shared" si="2"/>
        <v>0</v>
      </c>
      <c r="K13" s="238">
        <f t="shared" si="2"/>
        <v>0</v>
      </c>
      <c r="L13" s="239">
        <f>SUM(C13:K13)</f>
        <v>15500000</v>
      </c>
      <c r="M13" s="4"/>
      <c r="N13" s="4"/>
    </row>
    <row r="14" spans="1:24" ht="15.75" customHeight="1" x14ac:dyDescent="0.15">
      <c r="A14" s="240"/>
      <c r="B14" s="241" t="s">
        <v>217</v>
      </c>
      <c r="C14" s="242">
        <f t="shared" ref="C14:E14" si="3">IFERROR(C13/C11,"")</f>
        <v>50000000</v>
      </c>
      <c r="D14" s="242">
        <f t="shared" si="3"/>
        <v>20000000</v>
      </c>
      <c r="E14" s="242">
        <f t="shared" si="3"/>
        <v>10000000</v>
      </c>
      <c r="F14" s="242" t="s">
        <v>216</v>
      </c>
      <c r="G14" s="242" t="s">
        <v>216</v>
      </c>
      <c r="H14" s="242" t="s">
        <v>216</v>
      </c>
      <c r="I14" s="242" t="s">
        <v>216</v>
      </c>
      <c r="J14" s="242" t="str">
        <f t="shared" ref="J14:L14" si="4">IFERROR(J13/J11,"")</f>
        <v/>
      </c>
      <c r="K14" s="242" t="str">
        <f t="shared" si="4"/>
        <v/>
      </c>
      <c r="L14" s="243">
        <f t="shared" si="4"/>
        <v>15500000</v>
      </c>
      <c r="M14" s="4"/>
      <c r="N14" s="4"/>
    </row>
    <row r="15" spans="1:24" ht="15.75" customHeight="1" x14ac:dyDescent="0.15">
      <c r="A15" s="211"/>
      <c r="B15" s="244"/>
      <c r="C15" s="245"/>
      <c r="D15" s="246"/>
      <c r="E15" s="246"/>
      <c r="F15" s="246"/>
      <c r="G15" s="246"/>
      <c r="H15" s="246"/>
      <c r="I15" s="246"/>
      <c r="J15" s="246"/>
      <c r="K15" s="246"/>
      <c r="L15" s="247"/>
      <c r="M15" s="4"/>
      <c r="N15" s="4"/>
    </row>
    <row r="16" spans="1:24" ht="15.75" customHeight="1" x14ac:dyDescent="0.15">
      <c r="A16" s="211"/>
      <c r="B16" s="244"/>
      <c r="C16" s="245"/>
      <c r="D16" s="246"/>
      <c r="E16" s="246"/>
      <c r="F16" s="246"/>
      <c r="G16" s="246"/>
      <c r="H16" s="246"/>
      <c r="I16" s="246"/>
      <c r="J16" s="246"/>
      <c r="K16" s="246"/>
      <c r="L16" s="247"/>
      <c r="M16" s="4"/>
      <c r="N16" s="4"/>
    </row>
    <row r="17" spans="1:24" ht="15.75" customHeight="1" x14ac:dyDescent="0.15">
      <c r="A17" s="211"/>
      <c r="B17" s="244" t="s">
        <v>218</v>
      </c>
      <c r="C17" s="220" t="str">
        <f t="shared" ref="C17:K17" si="5">C8</f>
        <v>Public Sale</v>
      </c>
      <c r="D17" s="220" t="str">
        <f t="shared" si="5"/>
        <v>Private Sale 1</v>
      </c>
      <c r="E17" s="220" t="str">
        <f t="shared" si="5"/>
        <v>Seed Sale</v>
      </c>
      <c r="F17" s="220" t="str">
        <f t="shared" si="5"/>
        <v>Team</v>
      </c>
      <c r="G17" s="220" t="str">
        <f t="shared" si="5"/>
        <v>Ecosystem</v>
      </c>
      <c r="H17" s="220" t="str">
        <f t="shared" si="5"/>
        <v>Block Rewards</v>
      </c>
      <c r="I17" s="220" t="str">
        <f t="shared" si="5"/>
        <v>Token Treasury</v>
      </c>
      <c r="J17" s="220" t="str">
        <f t="shared" si="5"/>
        <v>[Other - Please Fill In]</v>
      </c>
      <c r="K17" s="220" t="str">
        <f t="shared" si="5"/>
        <v>[Other - Please Fill In]</v>
      </c>
      <c r="L17" s="222"/>
      <c r="M17" s="4"/>
      <c r="N17" s="4"/>
    </row>
    <row r="18" spans="1:24" ht="15.75" customHeight="1" x14ac:dyDescent="0.15">
      <c r="A18" s="211"/>
      <c r="B18" s="248" t="str">
        <f>B10</f>
        <v>Token Allocation</v>
      </c>
      <c r="C18" s="249" t="s">
        <v>216</v>
      </c>
      <c r="D18" s="250">
        <f t="shared" ref="D18:G18" si="6">D10</f>
        <v>10000000</v>
      </c>
      <c r="E18" s="250">
        <f t="shared" si="6"/>
        <v>10000000</v>
      </c>
      <c r="F18" s="250">
        <f t="shared" si="6"/>
        <v>15000000</v>
      </c>
      <c r="G18" s="250">
        <f t="shared" si="6"/>
        <v>20000000</v>
      </c>
      <c r="H18" s="251" t="s">
        <v>214</v>
      </c>
      <c r="I18" s="250">
        <f t="shared" ref="I18:K18" si="7">I10</f>
        <v>20000000</v>
      </c>
      <c r="J18" s="250">
        <f t="shared" si="7"/>
        <v>0</v>
      </c>
      <c r="K18" s="252">
        <f t="shared" si="7"/>
        <v>0</v>
      </c>
      <c r="L18" s="247"/>
      <c r="M18" s="4"/>
      <c r="N18" s="4"/>
    </row>
    <row r="19" spans="1:24" ht="15.75" customHeight="1" x14ac:dyDescent="0.15">
      <c r="A19" s="211"/>
      <c r="B19" s="253" t="s">
        <v>219</v>
      </c>
      <c r="C19" s="254"/>
      <c r="D19" s="235" t="s">
        <v>75</v>
      </c>
      <c r="E19" s="235" t="s">
        <v>75</v>
      </c>
      <c r="F19" s="235" t="s">
        <v>75</v>
      </c>
      <c r="G19" s="235" t="s">
        <v>75</v>
      </c>
      <c r="H19" s="235" t="s">
        <v>220</v>
      </c>
      <c r="I19" s="235" t="s">
        <v>220</v>
      </c>
      <c r="J19" s="255"/>
      <c r="K19" s="256"/>
      <c r="L19" s="247"/>
      <c r="M19" s="4"/>
      <c r="N19" s="4"/>
    </row>
    <row r="20" spans="1:24" ht="15.75" customHeight="1" x14ac:dyDescent="0.15">
      <c r="A20" s="211"/>
      <c r="B20" s="253" t="s">
        <v>221</v>
      </c>
      <c r="C20" s="254" t="s">
        <v>216</v>
      </c>
      <c r="D20" s="257">
        <v>0.1</v>
      </c>
      <c r="E20" s="257">
        <v>0.2</v>
      </c>
      <c r="F20" s="257">
        <v>0.25</v>
      </c>
      <c r="G20" s="257">
        <v>0.1</v>
      </c>
      <c r="H20" s="258" t="s">
        <v>214</v>
      </c>
      <c r="I20" s="257">
        <v>0.25</v>
      </c>
      <c r="J20" s="257">
        <v>0</v>
      </c>
      <c r="K20" s="259">
        <v>0</v>
      </c>
      <c r="L20" s="247"/>
      <c r="M20" s="4"/>
      <c r="N20" s="4"/>
    </row>
    <row r="21" spans="1:24" ht="15.75" customHeight="1" x14ac:dyDescent="0.15">
      <c r="A21" s="211"/>
      <c r="B21" s="253" t="s">
        <v>222</v>
      </c>
      <c r="C21" s="254" t="s">
        <v>216</v>
      </c>
      <c r="D21" s="228">
        <f t="shared" ref="D21:K21" si="8">IFERROR(D20*D18,"-")</f>
        <v>1000000</v>
      </c>
      <c r="E21" s="228">
        <f t="shared" si="8"/>
        <v>2000000</v>
      </c>
      <c r="F21" s="228">
        <f t="shared" si="8"/>
        <v>3750000</v>
      </c>
      <c r="G21" s="228">
        <f t="shared" si="8"/>
        <v>2000000</v>
      </c>
      <c r="H21" s="228" t="str">
        <f t="shared" si="8"/>
        <v>-</v>
      </c>
      <c r="I21" s="228">
        <f t="shared" si="8"/>
        <v>5000000</v>
      </c>
      <c r="J21" s="228">
        <f t="shared" si="8"/>
        <v>0</v>
      </c>
      <c r="K21" s="260">
        <f t="shared" si="8"/>
        <v>0</v>
      </c>
      <c r="L21" s="247"/>
      <c r="M21" s="4"/>
      <c r="N21" s="4"/>
    </row>
    <row r="22" spans="1:24" ht="15.75" customHeight="1" x14ac:dyDescent="0.15">
      <c r="A22" s="211"/>
      <c r="B22" s="253" t="s">
        <v>223</v>
      </c>
      <c r="C22" s="254" t="s">
        <v>216</v>
      </c>
      <c r="D22" s="235">
        <v>0</v>
      </c>
      <c r="E22" s="235">
        <v>0</v>
      </c>
      <c r="F22" s="235">
        <v>12</v>
      </c>
      <c r="G22" s="235">
        <v>0</v>
      </c>
      <c r="H22" s="235">
        <v>0</v>
      </c>
      <c r="I22" s="235">
        <v>0</v>
      </c>
      <c r="J22" s="235">
        <v>0</v>
      </c>
      <c r="K22" s="261">
        <v>0</v>
      </c>
      <c r="L22" s="247"/>
      <c r="M22" s="4"/>
      <c r="N22" s="4"/>
    </row>
    <row r="23" spans="1:24" ht="15.75" customHeight="1" x14ac:dyDescent="0.15">
      <c r="A23" s="211"/>
      <c r="B23" s="253" t="s">
        <v>224</v>
      </c>
      <c r="C23" s="254" t="s">
        <v>216</v>
      </c>
      <c r="D23" s="235">
        <v>24</v>
      </c>
      <c r="E23" s="235">
        <v>30</v>
      </c>
      <c r="F23" s="235">
        <v>36</v>
      </c>
      <c r="G23" s="235">
        <v>24</v>
      </c>
      <c r="H23" s="235">
        <v>0</v>
      </c>
      <c r="I23" s="235">
        <v>24</v>
      </c>
      <c r="J23" s="235">
        <v>0</v>
      </c>
      <c r="K23" s="261">
        <v>0</v>
      </c>
      <c r="L23" s="247"/>
      <c r="M23" s="4"/>
      <c r="N23" s="4"/>
    </row>
    <row r="24" spans="1:24" ht="15.75" customHeight="1" x14ac:dyDescent="0.15">
      <c r="A24" s="211"/>
      <c r="B24" s="253" t="s">
        <v>225</v>
      </c>
      <c r="C24" s="254" t="s">
        <v>216</v>
      </c>
      <c r="D24" s="262">
        <f t="shared" ref="D24:K24" si="9">D23-D22</f>
        <v>24</v>
      </c>
      <c r="E24" s="262">
        <f t="shared" si="9"/>
        <v>30</v>
      </c>
      <c r="F24" s="262">
        <f t="shared" si="9"/>
        <v>24</v>
      </c>
      <c r="G24" s="262">
        <f t="shared" si="9"/>
        <v>24</v>
      </c>
      <c r="H24" s="262">
        <f t="shared" si="9"/>
        <v>0</v>
      </c>
      <c r="I24" s="262">
        <f t="shared" si="9"/>
        <v>24</v>
      </c>
      <c r="J24" s="262">
        <f t="shared" si="9"/>
        <v>0</v>
      </c>
      <c r="K24" s="263">
        <f t="shared" si="9"/>
        <v>0</v>
      </c>
      <c r="L24" s="247"/>
      <c r="M24" s="4"/>
      <c r="N24" s="4"/>
    </row>
    <row r="25" spans="1:24" ht="15.75" customHeight="1" x14ac:dyDescent="0.15">
      <c r="A25" s="211"/>
      <c r="B25" s="253" t="s">
        <v>226</v>
      </c>
      <c r="C25" s="254" t="s">
        <v>216</v>
      </c>
      <c r="D25" s="235">
        <v>6</v>
      </c>
      <c r="E25" s="235">
        <v>3</v>
      </c>
      <c r="F25" s="235">
        <v>3</v>
      </c>
      <c r="G25" s="235">
        <v>3</v>
      </c>
      <c r="H25" s="235">
        <v>3</v>
      </c>
      <c r="I25" s="235">
        <v>3</v>
      </c>
      <c r="J25" s="235">
        <v>0</v>
      </c>
      <c r="K25" s="261">
        <v>0</v>
      </c>
      <c r="L25" s="247"/>
      <c r="M25" s="4"/>
      <c r="N25" s="4"/>
    </row>
    <row r="26" spans="1:24" ht="15.75" customHeight="1" x14ac:dyDescent="0.15">
      <c r="A26" s="211" t="s">
        <v>75</v>
      </c>
      <c r="B26" s="253" t="s">
        <v>227</v>
      </c>
      <c r="C26" s="254" t="s">
        <v>216</v>
      </c>
      <c r="D26" s="262">
        <f t="shared" ref="D26:K26" si="10">IFERROR(D24/D25,"-")</f>
        <v>4</v>
      </c>
      <c r="E26" s="262">
        <f t="shared" si="10"/>
        <v>10</v>
      </c>
      <c r="F26" s="262">
        <f t="shared" si="10"/>
        <v>8</v>
      </c>
      <c r="G26" s="262">
        <f t="shared" si="10"/>
        <v>8</v>
      </c>
      <c r="H26" s="262">
        <f t="shared" si="10"/>
        <v>0</v>
      </c>
      <c r="I26" s="262">
        <f t="shared" si="10"/>
        <v>8</v>
      </c>
      <c r="J26" s="262" t="str">
        <f t="shared" si="10"/>
        <v>-</v>
      </c>
      <c r="K26" s="263" t="str">
        <f t="shared" si="10"/>
        <v>-</v>
      </c>
      <c r="L26" s="247"/>
      <c r="M26" s="4"/>
      <c r="N26" s="4"/>
    </row>
    <row r="27" spans="1:24" ht="15.75" customHeight="1" x14ac:dyDescent="0.15">
      <c r="A27" s="211" t="s">
        <v>220</v>
      </c>
      <c r="B27" s="264" t="s">
        <v>228</v>
      </c>
      <c r="C27" s="265" t="s">
        <v>216</v>
      </c>
      <c r="D27" s="266">
        <f t="shared" ref="D27:K27" si="11">IFERROR((D18-D21)/D26,"-")</f>
        <v>2250000</v>
      </c>
      <c r="E27" s="266">
        <f t="shared" si="11"/>
        <v>800000</v>
      </c>
      <c r="F27" s="266">
        <f t="shared" si="11"/>
        <v>1406250</v>
      </c>
      <c r="G27" s="266">
        <f t="shared" si="11"/>
        <v>2250000</v>
      </c>
      <c r="H27" s="266" t="str">
        <f t="shared" si="11"/>
        <v>-</v>
      </c>
      <c r="I27" s="266">
        <f t="shared" si="11"/>
        <v>1875000</v>
      </c>
      <c r="J27" s="266" t="str">
        <f t="shared" si="11"/>
        <v>-</v>
      </c>
      <c r="K27" s="267" t="str">
        <f t="shared" si="11"/>
        <v>-</v>
      </c>
      <c r="L27" s="247"/>
      <c r="M27" s="4"/>
      <c r="N27" s="4"/>
    </row>
    <row r="28" spans="1:24" ht="15.75" customHeight="1" x14ac:dyDescent="0.15">
      <c r="A28" s="12"/>
      <c r="B28" s="12"/>
      <c r="C28" s="222"/>
      <c r="D28" s="222"/>
      <c r="E28" s="222"/>
      <c r="F28" s="222"/>
      <c r="G28" s="222"/>
      <c r="H28" s="222"/>
      <c r="I28" s="222"/>
      <c r="J28" s="4"/>
      <c r="K28" s="4"/>
      <c r="L28" s="4"/>
      <c r="M28" s="4"/>
      <c r="N28" s="4"/>
      <c r="P28" s="222"/>
      <c r="Q28" s="222"/>
      <c r="R28" s="222"/>
      <c r="S28" s="222"/>
      <c r="T28" s="222"/>
      <c r="U28" s="222"/>
      <c r="V28" s="222"/>
      <c r="W28" s="4"/>
      <c r="X28" s="4"/>
    </row>
    <row r="29" spans="1:24" ht="15.75" customHeight="1" x14ac:dyDescent="0.15">
      <c r="A29" s="12"/>
      <c r="B29" s="12"/>
      <c r="C29" s="222"/>
      <c r="D29" s="222"/>
      <c r="E29" s="222"/>
      <c r="F29" s="222"/>
      <c r="G29" s="222"/>
      <c r="H29" s="222"/>
      <c r="I29" s="222"/>
      <c r="J29" s="4"/>
      <c r="K29" s="4"/>
      <c r="L29" s="4"/>
      <c r="M29" s="4"/>
      <c r="N29" s="4"/>
      <c r="P29" s="222"/>
      <c r="Q29" s="222"/>
      <c r="R29" s="222"/>
      <c r="S29" s="222"/>
      <c r="T29" s="222"/>
      <c r="U29" s="222"/>
      <c r="V29" s="222"/>
      <c r="W29" s="4"/>
      <c r="X29" s="4"/>
    </row>
    <row r="30" spans="1:24" ht="15.75" customHeight="1" x14ac:dyDescent="0.15">
      <c r="A30" s="211"/>
      <c r="B30" s="12"/>
      <c r="C30" s="268" t="str">
        <f t="shared" ref="C30:K30" si="12">C8</f>
        <v>Public Sale</v>
      </c>
      <c r="D30" s="268" t="str">
        <f t="shared" si="12"/>
        <v>Private Sale 1</v>
      </c>
      <c r="E30" s="268" t="str">
        <f t="shared" si="12"/>
        <v>Seed Sale</v>
      </c>
      <c r="F30" s="268" t="str">
        <f t="shared" si="12"/>
        <v>Team</v>
      </c>
      <c r="G30" s="268" t="str">
        <f t="shared" si="12"/>
        <v>Ecosystem</v>
      </c>
      <c r="H30" s="268" t="str">
        <f t="shared" si="12"/>
        <v>Block Rewards</v>
      </c>
      <c r="I30" s="268" t="str">
        <f t="shared" si="12"/>
        <v>Token Treasury</v>
      </c>
      <c r="J30" s="269" t="str">
        <f t="shared" si="12"/>
        <v>[Other - Please Fill In]</v>
      </c>
      <c r="K30" s="269" t="str">
        <f t="shared" si="12"/>
        <v>[Other - Please Fill In]</v>
      </c>
      <c r="L30" s="269" t="s">
        <v>11</v>
      </c>
      <c r="M30" s="269" t="s">
        <v>12</v>
      </c>
      <c r="N30" s="269" t="s">
        <v>13</v>
      </c>
      <c r="P30" s="222" t="str">
        <f t="shared" ref="P30:X30" si="13">P8</f>
        <v>Public Sale</v>
      </c>
      <c r="Q30" s="222" t="str">
        <f t="shared" si="13"/>
        <v>Private Sale</v>
      </c>
      <c r="R30" s="222" t="str">
        <f t="shared" si="13"/>
        <v>Team</v>
      </c>
      <c r="S30" s="222" t="str">
        <f t="shared" si="13"/>
        <v>Advisors</v>
      </c>
      <c r="T30" s="222" t="str">
        <f t="shared" si="13"/>
        <v>Strategic Sale</v>
      </c>
      <c r="U30" s="222" t="str">
        <f t="shared" si="13"/>
        <v>Seed Sale</v>
      </c>
      <c r="V30" s="222" t="str">
        <f t="shared" si="13"/>
        <v>Token Treasury</v>
      </c>
      <c r="W30" s="4" t="str">
        <f t="shared" si="13"/>
        <v>[Other - Please Fill In]</v>
      </c>
      <c r="X30" s="4" t="str">
        <f t="shared" si="13"/>
        <v>[Other - Please Fill In]</v>
      </c>
    </row>
    <row r="31" spans="1:24" ht="15.75" customHeight="1" x14ac:dyDescent="0.15">
      <c r="A31" s="211" t="s">
        <v>229</v>
      </c>
      <c r="B31" s="13">
        <f ca="1">EOMONTH(C3,1)</f>
        <v>45930</v>
      </c>
      <c r="C31" s="270">
        <f>$C$10</f>
        <v>25000000</v>
      </c>
      <c r="D31" s="270"/>
      <c r="E31" s="270">
        <f>$E$21</f>
        <v>2000000</v>
      </c>
      <c r="F31" s="270"/>
      <c r="G31" s="270">
        <f>$G$21</f>
        <v>2000000</v>
      </c>
      <c r="H31" s="270"/>
      <c r="I31" s="270">
        <f>I21</f>
        <v>5000000</v>
      </c>
      <c r="J31" s="270"/>
      <c r="K31" s="270"/>
      <c r="L31" s="15">
        <f>SUM(C31:K31)</f>
        <v>34000000</v>
      </c>
      <c r="M31" s="271">
        <f t="shared" ref="M31:M88" si="14">L31/$C$2</f>
        <v>0.34</v>
      </c>
      <c r="N31" s="272"/>
      <c r="P31" s="273">
        <f t="shared" ref="P31:X31" si="15">(SUM(C$31:C31)/$L$10*100)</f>
        <v>25</v>
      </c>
      <c r="Q31" s="273">
        <f t="shared" si="15"/>
        <v>0</v>
      </c>
      <c r="R31" s="273">
        <f t="shared" si="15"/>
        <v>2</v>
      </c>
      <c r="S31" s="273">
        <f t="shared" si="15"/>
        <v>0</v>
      </c>
      <c r="T31" s="273">
        <f t="shared" si="15"/>
        <v>2</v>
      </c>
      <c r="U31" s="273">
        <f t="shared" si="15"/>
        <v>0</v>
      </c>
      <c r="V31" s="273">
        <f t="shared" si="15"/>
        <v>5</v>
      </c>
      <c r="W31" s="273">
        <f t="shared" si="15"/>
        <v>0</v>
      </c>
      <c r="X31" s="273">
        <f t="shared" si="15"/>
        <v>0</v>
      </c>
    </row>
    <row r="32" spans="1:24" ht="15.75" customHeight="1" x14ac:dyDescent="0.15">
      <c r="A32" s="13"/>
      <c r="B32" s="13">
        <f t="shared" ref="B32:B91" ca="1" si="16">EOMONTH(B31,1)</f>
        <v>45961</v>
      </c>
      <c r="C32" s="274"/>
      <c r="D32" s="274"/>
      <c r="E32" s="274"/>
      <c r="F32" s="274"/>
      <c r="G32" s="274"/>
      <c r="H32" s="274"/>
      <c r="I32" s="274"/>
      <c r="J32" s="274"/>
      <c r="K32" s="274"/>
      <c r="L32" s="15">
        <f t="shared" ref="L32:L88" si="17">SUM(C32:K32)+L31</f>
        <v>34000000</v>
      </c>
      <c r="M32" s="271">
        <f t="shared" si="14"/>
        <v>0.34</v>
      </c>
      <c r="N32" s="271">
        <f t="shared" ref="N32:N88" si="18">M32-M31</f>
        <v>0</v>
      </c>
      <c r="P32" s="273">
        <f t="shared" ref="P32:X32" si="19">(SUM(C$31:C32)/$L$10*100)</f>
        <v>25</v>
      </c>
      <c r="Q32" s="273">
        <f t="shared" si="19"/>
        <v>0</v>
      </c>
      <c r="R32" s="273">
        <f t="shared" si="19"/>
        <v>2</v>
      </c>
      <c r="S32" s="273">
        <f t="shared" si="19"/>
        <v>0</v>
      </c>
      <c r="T32" s="273">
        <f t="shared" si="19"/>
        <v>2</v>
      </c>
      <c r="U32" s="273">
        <f t="shared" si="19"/>
        <v>0</v>
      </c>
      <c r="V32" s="273">
        <f t="shared" si="19"/>
        <v>5</v>
      </c>
      <c r="W32" s="273">
        <f t="shared" si="19"/>
        <v>0</v>
      </c>
      <c r="X32" s="273">
        <f t="shared" si="19"/>
        <v>0</v>
      </c>
    </row>
    <row r="33" spans="1:24" ht="15.75" customHeight="1" x14ac:dyDescent="0.15">
      <c r="B33" s="13">
        <f t="shared" ca="1" si="16"/>
        <v>45991</v>
      </c>
      <c r="C33" s="274"/>
      <c r="D33" s="274"/>
      <c r="E33" s="274">
        <f>$E$27</f>
        <v>800000</v>
      </c>
      <c r="F33" s="274"/>
      <c r="G33" s="274">
        <f>$G$27</f>
        <v>2250000</v>
      </c>
      <c r="H33" s="274"/>
      <c r="I33" s="274">
        <f>$I$27</f>
        <v>1875000</v>
      </c>
      <c r="J33" s="274"/>
      <c r="K33" s="274"/>
      <c r="L33" s="15">
        <f t="shared" si="17"/>
        <v>38925000</v>
      </c>
      <c r="M33" s="271">
        <f t="shared" si="14"/>
        <v>0.38924999999999998</v>
      </c>
      <c r="N33" s="271">
        <f t="shared" si="18"/>
        <v>4.924999999999996E-2</v>
      </c>
      <c r="P33" s="273">
        <f t="shared" ref="P33:X33" si="20">(SUM(C$31:C33)/$L$10*100)</f>
        <v>25</v>
      </c>
      <c r="Q33" s="273">
        <f t="shared" si="20"/>
        <v>0</v>
      </c>
      <c r="R33" s="273">
        <f t="shared" si="20"/>
        <v>2.8000000000000003</v>
      </c>
      <c r="S33" s="273">
        <f t="shared" si="20"/>
        <v>0</v>
      </c>
      <c r="T33" s="273">
        <f t="shared" si="20"/>
        <v>4.25</v>
      </c>
      <c r="U33" s="273">
        <f t="shared" si="20"/>
        <v>0</v>
      </c>
      <c r="V33" s="273">
        <f t="shared" si="20"/>
        <v>6.8750000000000009</v>
      </c>
      <c r="W33" s="273">
        <f t="shared" si="20"/>
        <v>0</v>
      </c>
      <c r="X33" s="273">
        <f t="shared" si="20"/>
        <v>0</v>
      </c>
    </row>
    <row r="34" spans="1:24" ht="15.75" customHeight="1" x14ac:dyDescent="0.15">
      <c r="A34" s="211" t="s">
        <v>230</v>
      </c>
      <c r="B34" s="13">
        <f t="shared" ca="1" si="16"/>
        <v>46022</v>
      </c>
      <c r="C34" s="274"/>
      <c r="D34" s="274"/>
      <c r="E34" s="274"/>
      <c r="F34" s="274"/>
      <c r="G34" s="274"/>
      <c r="H34" s="274"/>
      <c r="I34" s="274"/>
      <c r="J34" s="274"/>
      <c r="K34" s="274"/>
      <c r="L34" s="15">
        <f t="shared" si="17"/>
        <v>38925000</v>
      </c>
      <c r="M34" s="271">
        <f t="shared" si="14"/>
        <v>0.38924999999999998</v>
      </c>
      <c r="N34" s="271">
        <f t="shared" si="18"/>
        <v>0</v>
      </c>
      <c r="P34" s="273">
        <f t="shared" ref="P34:X34" si="21">(SUM(C$31:C34)/$L$10*100)</f>
        <v>25</v>
      </c>
      <c r="Q34" s="273">
        <f t="shared" si="21"/>
        <v>0</v>
      </c>
      <c r="R34" s="273">
        <f t="shared" si="21"/>
        <v>2.8000000000000003</v>
      </c>
      <c r="S34" s="273">
        <f t="shared" si="21"/>
        <v>0</v>
      </c>
      <c r="T34" s="273">
        <f t="shared" si="21"/>
        <v>4.25</v>
      </c>
      <c r="U34" s="273">
        <f t="shared" si="21"/>
        <v>0</v>
      </c>
      <c r="V34" s="273">
        <f t="shared" si="21"/>
        <v>6.8750000000000009</v>
      </c>
      <c r="W34" s="273">
        <f t="shared" si="21"/>
        <v>0</v>
      </c>
      <c r="X34" s="273">
        <f t="shared" si="21"/>
        <v>0</v>
      </c>
    </row>
    <row r="35" spans="1:24" ht="15.75" customHeight="1" x14ac:dyDescent="0.15">
      <c r="A35" s="13"/>
      <c r="B35" s="13">
        <f t="shared" ca="1" si="16"/>
        <v>46053</v>
      </c>
      <c r="C35" s="274"/>
      <c r="D35" s="274"/>
      <c r="E35" s="274"/>
      <c r="F35" s="274"/>
      <c r="G35" s="274"/>
      <c r="H35" s="274"/>
      <c r="I35" s="274"/>
      <c r="J35" s="274"/>
      <c r="K35" s="274"/>
      <c r="L35" s="15">
        <f t="shared" si="17"/>
        <v>38925000</v>
      </c>
      <c r="M35" s="271">
        <f t="shared" si="14"/>
        <v>0.38924999999999998</v>
      </c>
      <c r="N35" s="271">
        <f t="shared" si="18"/>
        <v>0</v>
      </c>
      <c r="P35" s="273">
        <f t="shared" ref="P35:X35" si="22">(SUM(C$31:C35)/$L$10*100)</f>
        <v>25</v>
      </c>
      <c r="Q35" s="273">
        <f t="shared" si="22"/>
        <v>0</v>
      </c>
      <c r="R35" s="273">
        <f t="shared" si="22"/>
        <v>2.8000000000000003</v>
      </c>
      <c r="S35" s="273">
        <f t="shared" si="22"/>
        <v>0</v>
      </c>
      <c r="T35" s="273">
        <f t="shared" si="22"/>
        <v>4.25</v>
      </c>
      <c r="U35" s="273">
        <f t="shared" si="22"/>
        <v>0</v>
      </c>
      <c r="V35" s="273">
        <f t="shared" si="22"/>
        <v>6.8750000000000009</v>
      </c>
      <c r="W35" s="273">
        <f t="shared" si="22"/>
        <v>0</v>
      </c>
      <c r="X35" s="273">
        <f t="shared" si="22"/>
        <v>0</v>
      </c>
    </row>
    <row r="36" spans="1:24" ht="15.75" customHeight="1" x14ac:dyDescent="0.15">
      <c r="A36" s="13"/>
      <c r="B36" s="13">
        <f t="shared" ca="1" si="16"/>
        <v>46081</v>
      </c>
      <c r="C36" s="274"/>
      <c r="D36" s="274">
        <f>$D$21</f>
        <v>1000000</v>
      </c>
      <c r="E36" s="274">
        <f>$E$27</f>
        <v>800000</v>
      </c>
      <c r="F36" s="274"/>
      <c r="G36" s="274">
        <f>$G$27</f>
        <v>2250000</v>
      </c>
      <c r="H36" s="274"/>
      <c r="I36" s="274">
        <f>$I$27</f>
        <v>1875000</v>
      </c>
      <c r="J36" s="274"/>
      <c r="K36" s="274"/>
      <c r="L36" s="15">
        <f t="shared" si="17"/>
        <v>44850000</v>
      </c>
      <c r="M36" s="271">
        <f t="shared" si="14"/>
        <v>0.44850000000000001</v>
      </c>
      <c r="N36" s="271">
        <f t="shared" si="18"/>
        <v>5.9250000000000025E-2</v>
      </c>
      <c r="P36" s="273">
        <f t="shared" ref="P36:X36" si="23">(SUM(C$31:C36)/$L$10*100)</f>
        <v>25</v>
      </c>
      <c r="Q36" s="273">
        <f t="shared" si="23"/>
        <v>1</v>
      </c>
      <c r="R36" s="273">
        <f t="shared" si="23"/>
        <v>3.5999999999999996</v>
      </c>
      <c r="S36" s="273">
        <f t="shared" si="23"/>
        <v>0</v>
      </c>
      <c r="T36" s="273">
        <f t="shared" si="23"/>
        <v>6.5</v>
      </c>
      <c r="U36" s="273">
        <f t="shared" si="23"/>
        <v>0</v>
      </c>
      <c r="V36" s="273">
        <f t="shared" si="23"/>
        <v>8.75</v>
      </c>
      <c r="W36" s="273">
        <f t="shared" si="23"/>
        <v>0</v>
      </c>
      <c r="X36" s="273">
        <f t="shared" si="23"/>
        <v>0</v>
      </c>
    </row>
    <row r="37" spans="1:24" ht="15.75" customHeight="1" x14ac:dyDescent="0.15">
      <c r="A37" s="211" t="s">
        <v>231</v>
      </c>
      <c r="B37" s="13">
        <f t="shared" ca="1" si="16"/>
        <v>46112</v>
      </c>
      <c r="C37" s="274"/>
      <c r="D37" s="274"/>
      <c r="E37" s="274"/>
      <c r="F37" s="274"/>
      <c r="G37" s="274"/>
      <c r="H37" s="274"/>
      <c r="I37" s="274"/>
      <c r="J37" s="274"/>
      <c r="K37" s="274"/>
      <c r="L37" s="15">
        <f t="shared" si="17"/>
        <v>44850000</v>
      </c>
      <c r="M37" s="271">
        <f t="shared" si="14"/>
        <v>0.44850000000000001</v>
      </c>
      <c r="N37" s="271">
        <f t="shared" si="18"/>
        <v>0</v>
      </c>
      <c r="P37" s="273">
        <f t="shared" ref="P37:X37" si="24">(SUM(C$31:C37)/$L$10*100)</f>
        <v>25</v>
      </c>
      <c r="Q37" s="273">
        <f t="shared" si="24"/>
        <v>1</v>
      </c>
      <c r="R37" s="273">
        <f t="shared" si="24"/>
        <v>3.5999999999999996</v>
      </c>
      <c r="S37" s="273">
        <f t="shared" si="24"/>
        <v>0</v>
      </c>
      <c r="T37" s="273">
        <f t="shared" si="24"/>
        <v>6.5</v>
      </c>
      <c r="U37" s="273">
        <f t="shared" si="24"/>
        <v>0</v>
      </c>
      <c r="V37" s="273">
        <f t="shared" si="24"/>
        <v>8.75</v>
      </c>
      <c r="W37" s="273">
        <f t="shared" si="24"/>
        <v>0</v>
      </c>
      <c r="X37" s="273">
        <f t="shared" si="24"/>
        <v>0</v>
      </c>
    </row>
    <row r="38" spans="1:24" ht="15.75" customHeight="1" x14ac:dyDescent="0.15">
      <c r="A38" s="13"/>
      <c r="B38" s="13">
        <f t="shared" ca="1" si="16"/>
        <v>46142</v>
      </c>
      <c r="C38" s="274"/>
      <c r="D38" s="274"/>
      <c r="E38" s="274"/>
      <c r="F38" s="274"/>
      <c r="G38" s="274"/>
      <c r="H38" s="274"/>
      <c r="I38" s="274"/>
      <c r="J38" s="274"/>
      <c r="K38" s="274"/>
      <c r="L38" s="15">
        <f t="shared" si="17"/>
        <v>44850000</v>
      </c>
      <c r="M38" s="271">
        <f t="shared" si="14"/>
        <v>0.44850000000000001</v>
      </c>
      <c r="N38" s="271">
        <f t="shared" si="18"/>
        <v>0</v>
      </c>
      <c r="P38" s="273">
        <f t="shared" ref="P38:X38" si="25">(SUM(C$31:C38)/$L$10*100)</f>
        <v>25</v>
      </c>
      <c r="Q38" s="273">
        <f t="shared" si="25"/>
        <v>1</v>
      </c>
      <c r="R38" s="273">
        <f t="shared" si="25"/>
        <v>3.5999999999999996</v>
      </c>
      <c r="S38" s="273">
        <f t="shared" si="25"/>
        <v>0</v>
      </c>
      <c r="T38" s="273">
        <f t="shared" si="25"/>
        <v>6.5</v>
      </c>
      <c r="U38" s="273">
        <f t="shared" si="25"/>
        <v>0</v>
      </c>
      <c r="V38" s="273">
        <f t="shared" si="25"/>
        <v>8.75</v>
      </c>
      <c r="W38" s="273">
        <f t="shared" si="25"/>
        <v>0</v>
      </c>
      <c r="X38" s="273">
        <f t="shared" si="25"/>
        <v>0</v>
      </c>
    </row>
    <row r="39" spans="1:24" ht="15.75" customHeight="1" x14ac:dyDescent="0.15">
      <c r="A39" s="13"/>
      <c r="B39" s="13">
        <f t="shared" ca="1" si="16"/>
        <v>46173</v>
      </c>
      <c r="C39" s="274"/>
      <c r="D39" s="274"/>
      <c r="E39" s="274">
        <f>$E$27</f>
        <v>800000</v>
      </c>
      <c r="F39" s="274"/>
      <c r="G39" s="274">
        <f>$G$27</f>
        <v>2250000</v>
      </c>
      <c r="H39" s="274"/>
      <c r="I39" s="274">
        <f>$I$27</f>
        <v>1875000</v>
      </c>
      <c r="J39" s="274"/>
      <c r="K39" s="274"/>
      <c r="L39" s="15">
        <f t="shared" si="17"/>
        <v>49775000</v>
      </c>
      <c r="M39" s="271">
        <f t="shared" si="14"/>
        <v>0.49775000000000003</v>
      </c>
      <c r="N39" s="271">
        <f t="shared" si="18"/>
        <v>4.9250000000000016E-2</v>
      </c>
      <c r="P39" s="273">
        <f t="shared" ref="P39:X39" si="26">(SUM(C$31:C39)/$L$10*100)</f>
        <v>25</v>
      </c>
      <c r="Q39" s="273">
        <f t="shared" si="26"/>
        <v>1</v>
      </c>
      <c r="R39" s="273">
        <f t="shared" si="26"/>
        <v>4.3999999999999995</v>
      </c>
      <c r="S39" s="273">
        <f t="shared" si="26"/>
        <v>0</v>
      </c>
      <c r="T39" s="273">
        <f t="shared" si="26"/>
        <v>8.75</v>
      </c>
      <c r="U39" s="273">
        <f t="shared" si="26"/>
        <v>0</v>
      </c>
      <c r="V39" s="273">
        <f t="shared" si="26"/>
        <v>10.625</v>
      </c>
      <c r="W39" s="273">
        <f t="shared" si="26"/>
        <v>0</v>
      </c>
      <c r="X39" s="273">
        <f t="shared" si="26"/>
        <v>0</v>
      </c>
    </row>
    <row r="40" spans="1:24" ht="15.75" customHeight="1" x14ac:dyDescent="0.15">
      <c r="A40" s="211" t="s">
        <v>232</v>
      </c>
      <c r="B40" s="13">
        <f t="shared" ca="1" si="16"/>
        <v>46203</v>
      </c>
      <c r="C40" s="274"/>
      <c r="D40" s="274"/>
      <c r="E40" s="274"/>
      <c r="F40" s="274"/>
      <c r="G40" s="274"/>
      <c r="H40" s="274"/>
      <c r="I40" s="274"/>
      <c r="J40" s="274"/>
      <c r="K40" s="274"/>
      <c r="L40" s="15">
        <f t="shared" si="17"/>
        <v>49775000</v>
      </c>
      <c r="M40" s="271">
        <f t="shared" si="14"/>
        <v>0.49775000000000003</v>
      </c>
      <c r="N40" s="271">
        <f t="shared" si="18"/>
        <v>0</v>
      </c>
      <c r="P40" s="273">
        <f t="shared" ref="P40:X40" si="27">(SUM(C$31:C40)/$L$10*100)</f>
        <v>25</v>
      </c>
      <c r="Q40" s="273">
        <f t="shared" si="27"/>
        <v>1</v>
      </c>
      <c r="R40" s="273">
        <f t="shared" si="27"/>
        <v>4.3999999999999995</v>
      </c>
      <c r="S40" s="273">
        <f t="shared" si="27"/>
        <v>0</v>
      </c>
      <c r="T40" s="273">
        <f t="shared" si="27"/>
        <v>8.75</v>
      </c>
      <c r="U40" s="273">
        <f t="shared" si="27"/>
        <v>0</v>
      </c>
      <c r="V40" s="273">
        <f t="shared" si="27"/>
        <v>10.625</v>
      </c>
      <c r="W40" s="273">
        <f t="shared" si="27"/>
        <v>0</v>
      </c>
      <c r="X40" s="273">
        <f t="shared" si="27"/>
        <v>0</v>
      </c>
    </row>
    <row r="41" spans="1:24" ht="15.75" customHeight="1" x14ac:dyDescent="0.15">
      <c r="A41" s="13"/>
      <c r="B41" s="13">
        <f t="shared" ca="1" si="16"/>
        <v>46234</v>
      </c>
      <c r="C41" s="274"/>
      <c r="D41" s="274"/>
      <c r="E41" s="274"/>
      <c r="F41" s="274"/>
      <c r="G41" s="274"/>
      <c r="H41" s="274"/>
      <c r="I41" s="274"/>
      <c r="J41" s="274"/>
      <c r="K41" s="274"/>
      <c r="L41" s="15">
        <f t="shared" si="17"/>
        <v>49775000</v>
      </c>
      <c r="M41" s="271">
        <f t="shared" si="14"/>
        <v>0.49775000000000003</v>
      </c>
      <c r="N41" s="271">
        <f t="shared" si="18"/>
        <v>0</v>
      </c>
      <c r="P41" s="273">
        <f t="shared" ref="P41:X41" si="28">(SUM(C$31:C41)/$L$10*100)</f>
        <v>25</v>
      </c>
      <c r="Q41" s="273">
        <f t="shared" si="28"/>
        <v>1</v>
      </c>
      <c r="R41" s="273">
        <f t="shared" si="28"/>
        <v>4.3999999999999995</v>
      </c>
      <c r="S41" s="273">
        <f t="shared" si="28"/>
        <v>0</v>
      </c>
      <c r="T41" s="273">
        <f t="shared" si="28"/>
        <v>8.75</v>
      </c>
      <c r="U41" s="273">
        <f t="shared" si="28"/>
        <v>0</v>
      </c>
      <c r="V41" s="273">
        <f t="shared" si="28"/>
        <v>10.625</v>
      </c>
      <c r="W41" s="273">
        <f t="shared" si="28"/>
        <v>0</v>
      </c>
      <c r="X41" s="273">
        <f t="shared" si="28"/>
        <v>0</v>
      </c>
    </row>
    <row r="42" spans="1:24" ht="15.75" customHeight="1" x14ac:dyDescent="0.15">
      <c r="A42" s="13"/>
      <c r="B42" s="13">
        <f t="shared" ca="1" si="16"/>
        <v>46265</v>
      </c>
      <c r="C42" s="274"/>
      <c r="D42" s="274">
        <f>$D$27</f>
        <v>2250000</v>
      </c>
      <c r="E42" s="274">
        <f>$E$27</f>
        <v>800000</v>
      </c>
      <c r="F42" s="274">
        <f>F21</f>
        <v>3750000</v>
      </c>
      <c r="G42" s="274">
        <f>$G$27</f>
        <v>2250000</v>
      </c>
      <c r="H42" s="274"/>
      <c r="I42" s="274">
        <f>$I$27</f>
        <v>1875000</v>
      </c>
      <c r="J42" s="274"/>
      <c r="K42" s="274"/>
      <c r="L42" s="15">
        <f t="shared" si="17"/>
        <v>60700000</v>
      </c>
      <c r="M42" s="271">
        <f t="shared" si="14"/>
        <v>0.60699999999999998</v>
      </c>
      <c r="N42" s="271">
        <f t="shared" si="18"/>
        <v>0.10924999999999996</v>
      </c>
      <c r="P42" s="273">
        <f t="shared" ref="P42:X42" si="29">(SUM(C$31:C42)/$L$10*100)</f>
        <v>25</v>
      </c>
      <c r="Q42" s="273">
        <f t="shared" si="29"/>
        <v>3.25</v>
      </c>
      <c r="R42" s="273">
        <f t="shared" si="29"/>
        <v>5.2</v>
      </c>
      <c r="S42" s="273">
        <f t="shared" si="29"/>
        <v>3.75</v>
      </c>
      <c r="T42" s="273">
        <f t="shared" si="29"/>
        <v>11</v>
      </c>
      <c r="U42" s="273">
        <f t="shared" si="29"/>
        <v>0</v>
      </c>
      <c r="V42" s="273">
        <f t="shared" si="29"/>
        <v>12.5</v>
      </c>
      <c r="W42" s="273">
        <f t="shared" si="29"/>
        <v>0</v>
      </c>
      <c r="X42" s="273">
        <f t="shared" si="29"/>
        <v>0</v>
      </c>
    </row>
    <row r="43" spans="1:24" ht="15.75" customHeight="1" x14ac:dyDescent="0.15">
      <c r="A43" s="211" t="s">
        <v>233</v>
      </c>
      <c r="B43" s="13">
        <f t="shared" ca="1" si="16"/>
        <v>46295</v>
      </c>
      <c r="C43" s="274"/>
      <c r="D43" s="274"/>
      <c r="E43" s="274"/>
      <c r="F43" s="274"/>
      <c r="G43" s="274"/>
      <c r="H43" s="274"/>
      <c r="I43" s="274"/>
      <c r="J43" s="274"/>
      <c r="K43" s="274"/>
      <c r="L43" s="15">
        <f t="shared" si="17"/>
        <v>60700000</v>
      </c>
      <c r="M43" s="271">
        <f t="shared" si="14"/>
        <v>0.60699999999999998</v>
      </c>
      <c r="N43" s="271">
        <f t="shared" si="18"/>
        <v>0</v>
      </c>
      <c r="P43" s="273">
        <f t="shared" ref="P43:X43" si="30">(SUM(C$31:C43)/$L$10*100)</f>
        <v>25</v>
      </c>
      <c r="Q43" s="273">
        <f t="shared" si="30"/>
        <v>3.25</v>
      </c>
      <c r="R43" s="273">
        <f t="shared" si="30"/>
        <v>5.2</v>
      </c>
      <c r="S43" s="273">
        <f t="shared" si="30"/>
        <v>3.75</v>
      </c>
      <c r="T43" s="273">
        <f t="shared" si="30"/>
        <v>11</v>
      </c>
      <c r="U43" s="273">
        <f t="shared" si="30"/>
        <v>0</v>
      </c>
      <c r="V43" s="273">
        <f t="shared" si="30"/>
        <v>12.5</v>
      </c>
      <c r="W43" s="273">
        <f t="shared" si="30"/>
        <v>0</v>
      </c>
      <c r="X43" s="273">
        <f t="shared" si="30"/>
        <v>0</v>
      </c>
    </row>
    <row r="44" spans="1:24" ht="15.75" customHeight="1" x14ac:dyDescent="0.15">
      <c r="A44" s="13"/>
      <c r="B44" s="13">
        <f t="shared" ca="1" si="16"/>
        <v>46326</v>
      </c>
      <c r="C44" s="274"/>
      <c r="D44" s="274"/>
      <c r="E44" s="274"/>
      <c r="F44" s="274"/>
      <c r="G44" s="274"/>
      <c r="H44" s="274"/>
      <c r="I44" s="274"/>
      <c r="J44" s="274"/>
      <c r="K44" s="274"/>
      <c r="L44" s="15">
        <f t="shared" si="17"/>
        <v>60700000</v>
      </c>
      <c r="M44" s="271">
        <f t="shared" si="14"/>
        <v>0.60699999999999998</v>
      </c>
      <c r="N44" s="271">
        <f t="shared" si="18"/>
        <v>0</v>
      </c>
      <c r="P44" s="273">
        <f t="shared" ref="P44:X44" si="31">(SUM(C$31:C44)/$L$10*100)</f>
        <v>25</v>
      </c>
      <c r="Q44" s="273">
        <f t="shared" si="31"/>
        <v>3.25</v>
      </c>
      <c r="R44" s="273">
        <f t="shared" si="31"/>
        <v>5.2</v>
      </c>
      <c r="S44" s="273">
        <f t="shared" si="31"/>
        <v>3.75</v>
      </c>
      <c r="T44" s="273">
        <f t="shared" si="31"/>
        <v>11</v>
      </c>
      <c r="U44" s="273">
        <f t="shared" si="31"/>
        <v>0</v>
      </c>
      <c r="V44" s="273">
        <f t="shared" si="31"/>
        <v>12.5</v>
      </c>
      <c r="W44" s="273">
        <f t="shared" si="31"/>
        <v>0</v>
      </c>
      <c r="X44" s="273">
        <f t="shared" si="31"/>
        <v>0</v>
      </c>
    </row>
    <row r="45" spans="1:24" ht="15.75" customHeight="1" x14ac:dyDescent="0.15">
      <c r="A45" s="13"/>
      <c r="B45" s="13">
        <f t="shared" ca="1" si="16"/>
        <v>46356</v>
      </c>
      <c r="C45" s="274"/>
      <c r="D45" s="274"/>
      <c r="E45" s="274">
        <f>$E$27</f>
        <v>800000</v>
      </c>
      <c r="F45" s="274">
        <f>$F$27</f>
        <v>1406250</v>
      </c>
      <c r="G45" s="274">
        <f>$G$27</f>
        <v>2250000</v>
      </c>
      <c r="H45" s="274"/>
      <c r="I45" s="274">
        <f>$I$27</f>
        <v>1875000</v>
      </c>
      <c r="J45" s="274"/>
      <c r="K45" s="274"/>
      <c r="L45" s="15">
        <f t="shared" si="17"/>
        <v>67031250</v>
      </c>
      <c r="M45" s="271">
        <f t="shared" si="14"/>
        <v>0.67031249999999998</v>
      </c>
      <c r="N45" s="271">
        <f t="shared" si="18"/>
        <v>6.3312499999999994E-2</v>
      </c>
      <c r="P45" s="273">
        <f t="shared" ref="P45:X45" si="32">(SUM(C$31:C45)/$L$10*100)</f>
        <v>25</v>
      </c>
      <c r="Q45" s="273">
        <f t="shared" si="32"/>
        <v>3.25</v>
      </c>
      <c r="R45" s="273">
        <f t="shared" si="32"/>
        <v>6</v>
      </c>
      <c r="S45" s="273">
        <f t="shared" si="32"/>
        <v>5.15625</v>
      </c>
      <c r="T45" s="273">
        <f t="shared" si="32"/>
        <v>13.25</v>
      </c>
      <c r="U45" s="273">
        <f t="shared" si="32"/>
        <v>0</v>
      </c>
      <c r="V45" s="273">
        <f t="shared" si="32"/>
        <v>14.374999999999998</v>
      </c>
      <c r="W45" s="273">
        <f t="shared" si="32"/>
        <v>0</v>
      </c>
      <c r="X45" s="273">
        <f t="shared" si="32"/>
        <v>0</v>
      </c>
    </row>
    <row r="46" spans="1:24" ht="15.75" customHeight="1" x14ac:dyDescent="0.15">
      <c r="A46" s="211" t="s">
        <v>234</v>
      </c>
      <c r="B46" s="13">
        <f t="shared" ca="1" si="16"/>
        <v>46387</v>
      </c>
      <c r="C46" s="274"/>
      <c r="D46" s="274"/>
      <c r="E46" s="274"/>
      <c r="F46" s="274"/>
      <c r="G46" s="274"/>
      <c r="H46" s="274"/>
      <c r="I46" s="274"/>
      <c r="J46" s="274"/>
      <c r="K46" s="274"/>
      <c r="L46" s="15">
        <f t="shared" si="17"/>
        <v>67031250</v>
      </c>
      <c r="M46" s="271">
        <f t="shared" si="14"/>
        <v>0.67031249999999998</v>
      </c>
      <c r="N46" s="271">
        <f t="shared" si="18"/>
        <v>0</v>
      </c>
      <c r="P46" s="273">
        <f t="shared" ref="P46:X46" si="33">(SUM(C$31:C46)/$L$10*100)</f>
        <v>25</v>
      </c>
      <c r="Q46" s="273">
        <f t="shared" si="33"/>
        <v>3.25</v>
      </c>
      <c r="R46" s="273">
        <f t="shared" si="33"/>
        <v>6</v>
      </c>
      <c r="S46" s="273">
        <f t="shared" si="33"/>
        <v>5.15625</v>
      </c>
      <c r="T46" s="273">
        <f t="shared" si="33"/>
        <v>13.25</v>
      </c>
      <c r="U46" s="273">
        <f t="shared" si="33"/>
        <v>0</v>
      </c>
      <c r="V46" s="273">
        <f t="shared" si="33"/>
        <v>14.374999999999998</v>
      </c>
      <c r="W46" s="273">
        <f t="shared" si="33"/>
        <v>0</v>
      </c>
      <c r="X46" s="273">
        <f t="shared" si="33"/>
        <v>0</v>
      </c>
    </row>
    <row r="47" spans="1:24" ht="15.75" customHeight="1" x14ac:dyDescent="0.15">
      <c r="A47" s="13"/>
      <c r="B47" s="13">
        <f t="shared" ca="1" si="16"/>
        <v>46418</v>
      </c>
      <c r="C47" s="274"/>
      <c r="D47" s="274"/>
      <c r="E47" s="274"/>
      <c r="F47" s="274"/>
      <c r="G47" s="274"/>
      <c r="H47" s="274"/>
      <c r="I47" s="274"/>
      <c r="J47" s="274"/>
      <c r="K47" s="274"/>
      <c r="L47" s="15">
        <f t="shared" si="17"/>
        <v>67031250</v>
      </c>
      <c r="M47" s="271">
        <f t="shared" si="14"/>
        <v>0.67031249999999998</v>
      </c>
      <c r="N47" s="271">
        <f t="shared" si="18"/>
        <v>0</v>
      </c>
      <c r="P47" s="273">
        <f t="shared" ref="P47:X47" si="34">(SUM(C$31:C47)/$L$10*100)</f>
        <v>25</v>
      </c>
      <c r="Q47" s="273">
        <f t="shared" si="34"/>
        <v>3.25</v>
      </c>
      <c r="R47" s="273">
        <f t="shared" si="34"/>
        <v>6</v>
      </c>
      <c r="S47" s="273">
        <f t="shared" si="34"/>
        <v>5.15625</v>
      </c>
      <c r="T47" s="273">
        <f t="shared" si="34"/>
        <v>13.25</v>
      </c>
      <c r="U47" s="273">
        <f t="shared" si="34"/>
        <v>0</v>
      </c>
      <c r="V47" s="273">
        <f t="shared" si="34"/>
        <v>14.374999999999998</v>
      </c>
      <c r="W47" s="273">
        <f t="shared" si="34"/>
        <v>0</v>
      </c>
      <c r="X47" s="273">
        <f t="shared" si="34"/>
        <v>0</v>
      </c>
    </row>
    <row r="48" spans="1:24" ht="15.75" customHeight="1" x14ac:dyDescent="0.15">
      <c r="A48" s="13"/>
      <c r="B48" s="13">
        <f t="shared" ca="1" si="16"/>
        <v>46446</v>
      </c>
      <c r="C48" s="274"/>
      <c r="D48" s="274">
        <f>$D$27</f>
        <v>2250000</v>
      </c>
      <c r="E48" s="274">
        <f>$E$27</f>
        <v>800000</v>
      </c>
      <c r="F48" s="274">
        <f>$F$27</f>
        <v>1406250</v>
      </c>
      <c r="G48" s="274">
        <f>$G$27</f>
        <v>2250000</v>
      </c>
      <c r="H48" s="274"/>
      <c r="I48" s="274">
        <f>$I$27</f>
        <v>1875000</v>
      </c>
      <c r="J48" s="274"/>
      <c r="K48" s="274"/>
      <c r="L48" s="15">
        <f t="shared" si="17"/>
        <v>75612500</v>
      </c>
      <c r="M48" s="271">
        <f t="shared" si="14"/>
        <v>0.75612500000000005</v>
      </c>
      <c r="N48" s="271">
        <f t="shared" si="18"/>
        <v>8.5812500000000069E-2</v>
      </c>
      <c r="P48" s="273">
        <f t="shared" ref="P48:X48" si="35">(SUM(C$31:C48)/$L$10*100)</f>
        <v>25</v>
      </c>
      <c r="Q48" s="273">
        <f t="shared" si="35"/>
        <v>5.5</v>
      </c>
      <c r="R48" s="273">
        <f t="shared" si="35"/>
        <v>6.8000000000000007</v>
      </c>
      <c r="S48" s="273">
        <f t="shared" si="35"/>
        <v>6.5625</v>
      </c>
      <c r="T48" s="273">
        <f t="shared" si="35"/>
        <v>15.5</v>
      </c>
      <c r="U48" s="273">
        <f t="shared" si="35"/>
        <v>0</v>
      </c>
      <c r="V48" s="273">
        <f t="shared" si="35"/>
        <v>16.25</v>
      </c>
      <c r="W48" s="273">
        <f t="shared" si="35"/>
        <v>0</v>
      </c>
      <c r="X48" s="273">
        <f t="shared" si="35"/>
        <v>0</v>
      </c>
    </row>
    <row r="49" spans="1:24" ht="15.75" customHeight="1" x14ac:dyDescent="0.15">
      <c r="A49" s="211" t="s">
        <v>235</v>
      </c>
      <c r="B49" s="13">
        <f t="shared" ca="1" si="16"/>
        <v>46477</v>
      </c>
      <c r="C49" s="274"/>
      <c r="D49" s="274"/>
      <c r="E49" s="274"/>
      <c r="F49" s="274"/>
      <c r="G49" s="274"/>
      <c r="H49" s="274"/>
      <c r="I49" s="274"/>
      <c r="J49" s="274"/>
      <c r="K49" s="274"/>
      <c r="L49" s="15">
        <f t="shared" si="17"/>
        <v>75612500</v>
      </c>
      <c r="M49" s="271">
        <f t="shared" si="14"/>
        <v>0.75612500000000005</v>
      </c>
      <c r="N49" s="271">
        <f t="shared" si="18"/>
        <v>0</v>
      </c>
      <c r="P49" s="273">
        <f t="shared" ref="P49:X49" si="36">(SUM(C$31:C49)/$L$10*100)</f>
        <v>25</v>
      </c>
      <c r="Q49" s="273">
        <f t="shared" si="36"/>
        <v>5.5</v>
      </c>
      <c r="R49" s="273">
        <f t="shared" si="36"/>
        <v>6.8000000000000007</v>
      </c>
      <c r="S49" s="273">
        <f t="shared" si="36"/>
        <v>6.5625</v>
      </c>
      <c r="T49" s="273">
        <f t="shared" si="36"/>
        <v>15.5</v>
      </c>
      <c r="U49" s="273">
        <f t="shared" si="36"/>
        <v>0</v>
      </c>
      <c r="V49" s="273">
        <f t="shared" si="36"/>
        <v>16.25</v>
      </c>
      <c r="W49" s="273">
        <f t="shared" si="36"/>
        <v>0</v>
      </c>
      <c r="X49" s="273">
        <f t="shared" si="36"/>
        <v>0</v>
      </c>
    </row>
    <row r="50" spans="1:24" ht="15.75" customHeight="1" x14ac:dyDescent="0.15">
      <c r="A50" s="13"/>
      <c r="B50" s="13">
        <f t="shared" ca="1" si="16"/>
        <v>46507</v>
      </c>
      <c r="C50" s="274"/>
      <c r="D50" s="274"/>
      <c r="E50" s="274"/>
      <c r="F50" s="274"/>
      <c r="G50" s="274"/>
      <c r="H50" s="274"/>
      <c r="I50" s="274"/>
      <c r="J50" s="274"/>
      <c r="K50" s="274"/>
      <c r="L50" s="15">
        <f t="shared" si="17"/>
        <v>75612500</v>
      </c>
      <c r="M50" s="271">
        <f t="shared" si="14"/>
        <v>0.75612500000000005</v>
      </c>
      <c r="N50" s="271">
        <f t="shared" si="18"/>
        <v>0</v>
      </c>
      <c r="P50" s="273">
        <f t="shared" ref="P50:X50" si="37">(SUM(C$31:C50)/$L$10*100)</f>
        <v>25</v>
      </c>
      <c r="Q50" s="273">
        <f t="shared" si="37"/>
        <v>5.5</v>
      </c>
      <c r="R50" s="273">
        <f t="shared" si="37"/>
        <v>6.8000000000000007</v>
      </c>
      <c r="S50" s="273">
        <f t="shared" si="37"/>
        <v>6.5625</v>
      </c>
      <c r="T50" s="273">
        <f t="shared" si="37"/>
        <v>15.5</v>
      </c>
      <c r="U50" s="273">
        <f t="shared" si="37"/>
        <v>0</v>
      </c>
      <c r="V50" s="273">
        <f t="shared" si="37"/>
        <v>16.25</v>
      </c>
      <c r="W50" s="273">
        <f t="shared" si="37"/>
        <v>0</v>
      </c>
      <c r="X50" s="273">
        <f t="shared" si="37"/>
        <v>0</v>
      </c>
    </row>
    <row r="51" spans="1:24" ht="15.75" customHeight="1" x14ac:dyDescent="0.15">
      <c r="A51" s="13"/>
      <c r="B51" s="13">
        <f t="shared" ca="1" si="16"/>
        <v>46538</v>
      </c>
      <c r="C51" s="274"/>
      <c r="D51" s="274"/>
      <c r="E51" s="274">
        <f>$E$27</f>
        <v>800000</v>
      </c>
      <c r="F51" s="274">
        <f>$F$27</f>
        <v>1406250</v>
      </c>
      <c r="G51" s="274">
        <f>$G$27</f>
        <v>2250000</v>
      </c>
      <c r="H51" s="274"/>
      <c r="I51" s="274">
        <f>$I$27</f>
        <v>1875000</v>
      </c>
      <c r="J51" s="274"/>
      <c r="K51" s="274"/>
      <c r="L51" s="15">
        <f t="shared" si="17"/>
        <v>81943750</v>
      </c>
      <c r="M51" s="271">
        <f t="shared" si="14"/>
        <v>0.81943750000000004</v>
      </c>
      <c r="N51" s="271">
        <f t="shared" si="18"/>
        <v>6.3312499999999994E-2</v>
      </c>
      <c r="P51" s="273">
        <f t="shared" ref="P51:X51" si="38">(SUM(C$31:C51)/$L$10*100)</f>
        <v>25</v>
      </c>
      <c r="Q51" s="273">
        <f t="shared" si="38"/>
        <v>5.5</v>
      </c>
      <c r="R51" s="273">
        <f t="shared" si="38"/>
        <v>7.6</v>
      </c>
      <c r="S51" s="273">
        <f t="shared" si="38"/>
        <v>7.9687499999999991</v>
      </c>
      <c r="T51" s="273">
        <f t="shared" si="38"/>
        <v>17.75</v>
      </c>
      <c r="U51" s="273">
        <f t="shared" si="38"/>
        <v>0</v>
      </c>
      <c r="V51" s="273">
        <f t="shared" si="38"/>
        <v>18.125</v>
      </c>
      <c r="W51" s="273">
        <f t="shared" si="38"/>
        <v>0</v>
      </c>
      <c r="X51" s="273">
        <f t="shared" si="38"/>
        <v>0</v>
      </c>
    </row>
    <row r="52" spans="1:24" ht="15.75" customHeight="1" x14ac:dyDescent="0.15">
      <c r="A52" s="211" t="s">
        <v>236</v>
      </c>
      <c r="B52" s="13">
        <f t="shared" ca="1" si="16"/>
        <v>46568</v>
      </c>
      <c r="C52" s="274"/>
      <c r="D52" s="274"/>
      <c r="E52" s="274"/>
      <c r="F52" s="274"/>
      <c r="G52" s="274"/>
      <c r="H52" s="274"/>
      <c r="I52" s="274"/>
      <c r="J52" s="274"/>
      <c r="K52" s="274"/>
      <c r="L52" s="15">
        <f t="shared" si="17"/>
        <v>81943750</v>
      </c>
      <c r="M52" s="271">
        <f t="shared" si="14"/>
        <v>0.81943750000000004</v>
      </c>
      <c r="N52" s="271">
        <f t="shared" si="18"/>
        <v>0</v>
      </c>
      <c r="P52" s="273">
        <f t="shared" ref="P52:X52" si="39">(SUM(C$31:C52)/$L$10*100)</f>
        <v>25</v>
      </c>
      <c r="Q52" s="273">
        <f t="shared" si="39"/>
        <v>5.5</v>
      </c>
      <c r="R52" s="273">
        <f t="shared" si="39"/>
        <v>7.6</v>
      </c>
      <c r="S52" s="273">
        <f t="shared" si="39"/>
        <v>7.9687499999999991</v>
      </c>
      <c r="T52" s="273">
        <f t="shared" si="39"/>
        <v>17.75</v>
      </c>
      <c r="U52" s="273">
        <f t="shared" si="39"/>
        <v>0</v>
      </c>
      <c r="V52" s="273">
        <f t="shared" si="39"/>
        <v>18.125</v>
      </c>
      <c r="W52" s="273">
        <f t="shared" si="39"/>
        <v>0</v>
      </c>
      <c r="X52" s="273">
        <f t="shared" si="39"/>
        <v>0</v>
      </c>
    </row>
    <row r="53" spans="1:24" ht="15.75" customHeight="1" x14ac:dyDescent="0.15">
      <c r="A53" s="13"/>
      <c r="B53" s="13">
        <f t="shared" ca="1" si="16"/>
        <v>46599</v>
      </c>
      <c r="C53" s="274"/>
      <c r="D53" s="274"/>
      <c r="E53" s="274"/>
      <c r="F53" s="274"/>
      <c r="G53" s="274"/>
      <c r="H53" s="274"/>
      <c r="I53" s="274"/>
      <c r="J53" s="274"/>
      <c r="K53" s="274"/>
      <c r="L53" s="15">
        <f t="shared" si="17"/>
        <v>81943750</v>
      </c>
      <c r="M53" s="271">
        <f t="shared" si="14"/>
        <v>0.81943750000000004</v>
      </c>
      <c r="N53" s="271">
        <f t="shared" si="18"/>
        <v>0</v>
      </c>
      <c r="P53" s="273">
        <f t="shared" ref="P53:X53" si="40">(SUM(C$31:C53)/$L$10*100)</f>
        <v>25</v>
      </c>
      <c r="Q53" s="273">
        <f t="shared" si="40"/>
        <v>5.5</v>
      </c>
      <c r="R53" s="273">
        <f t="shared" si="40"/>
        <v>7.6</v>
      </c>
      <c r="S53" s="273">
        <f t="shared" si="40"/>
        <v>7.9687499999999991</v>
      </c>
      <c r="T53" s="273">
        <f t="shared" si="40"/>
        <v>17.75</v>
      </c>
      <c r="U53" s="273">
        <f t="shared" si="40"/>
        <v>0</v>
      </c>
      <c r="V53" s="273">
        <f t="shared" si="40"/>
        <v>18.125</v>
      </c>
      <c r="W53" s="273">
        <f t="shared" si="40"/>
        <v>0</v>
      </c>
      <c r="X53" s="273">
        <f t="shared" si="40"/>
        <v>0</v>
      </c>
    </row>
    <row r="54" spans="1:24" ht="15.75" customHeight="1" x14ac:dyDescent="0.15">
      <c r="A54" s="13"/>
      <c r="B54" s="13">
        <f t="shared" ca="1" si="16"/>
        <v>46630</v>
      </c>
      <c r="C54" s="274"/>
      <c r="D54" s="274">
        <f>$D$27</f>
        <v>2250000</v>
      </c>
      <c r="E54" s="274">
        <f>$E$27</f>
        <v>800000</v>
      </c>
      <c r="F54" s="274">
        <f>$F$27</f>
        <v>1406250</v>
      </c>
      <c r="G54" s="274">
        <f>$G$27</f>
        <v>2250000</v>
      </c>
      <c r="H54" s="274"/>
      <c r="I54" s="274">
        <f>$I$27</f>
        <v>1875000</v>
      </c>
      <c r="J54" s="274"/>
      <c r="K54" s="274"/>
      <c r="L54" s="15">
        <f t="shared" si="17"/>
        <v>90525000</v>
      </c>
      <c r="M54" s="271">
        <f t="shared" si="14"/>
        <v>0.90525</v>
      </c>
      <c r="N54" s="271">
        <f t="shared" si="18"/>
        <v>8.5812499999999958E-2</v>
      </c>
      <c r="P54" s="273">
        <f t="shared" ref="P54:X54" si="41">(SUM(C$31:C54)/$L$10*100)</f>
        <v>25</v>
      </c>
      <c r="Q54" s="273">
        <f t="shared" si="41"/>
        <v>7.75</v>
      </c>
      <c r="R54" s="273">
        <f t="shared" si="41"/>
        <v>8.4</v>
      </c>
      <c r="S54" s="273">
        <f t="shared" si="41"/>
        <v>9.375</v>
      </c>
      <c r="T54" s="273">
        <f t="shared" si="41"/>
        <v>20</v>
      </c>
      <c r="U54" s="273">
        <f t="shared" si="41"/>
        <v>0</v>
      </c>
      <c r="V54" s="273">
        <f t="shared" si="41"/>
        <v>20</v>
      </c>
      <c r="W54" s="273">
        <f t="shared" si="41"/>
        <v>0</v>
      </c>
      <c r="X54" s="273">
        <f t="shared" si="41"/>
        <v>0</v>
      </c>
    </row>
    <row r="55" spans="1:24" ht="15.75" customHeight="1" x14ac:dyDescent="0.15">
      <c r="A55" s="211" t="s">
        <v>237</v>
      </c>
      <c r="B55" s="13">
        <f t="shared" ca="1" si="16"/>
        <v>46660</v>
      </c>
      <c r="C55" s="274"/>
      <c r="D55" s="274"/>
      <c r="E55" s="274"/>
      <c r="F55" s="274"/>
      <c r="G55" s="274"/>
      <c r="H55" s="274"/>
      <c r="I55" s="274"/>
      <c r="J55" s="274"/>
      <c r="K55" s="274"/>
      <c r="L55" s="15">
        <f t="shared" si="17"/>
        <v>90525000</v>
      </c>
      <c r="M55" s="271">
        <f t="shared" si="14"/>
        <v>0.90525</v>
      </c>
      <c r="N55" s="271">
        <f t="shared" si="18"/>
        <v>0</v>
      </c>
      <c r="P55" s="273">
        <f t="shared" ref="P55:X55" si="42">(SUM(C$31:C55)/$L$10*100)</f>
        <v>25</v>
      </c>
      <c r="Q55" s="273">
        <f t="shared" si="42"/>
        <v>7.75</v>
      </c>
      <c r="R55" s="273">
        <f t="shared" si="42"/>
        <v>8.4</v>
      </c>
      <c r="S55" s="273">
        <f t="shared" si="42"/>
        <v>9.375</v>
      </c>
      <c r="T55" s="273">
        <f t="shared" si="42"/>
        <v>20</v>
      </c>
      <c r="U55" s="273">
        <f t="shared" si="42"/>
        <v>0</v>
      </c>
      <c r="V55" s="273">
        <f t="shared" si="42"/>
        <v>20</v>
      </c>
      <c r="W55" s="273">
        <f t="shared" si="42"/>
        <v>0</v>
      </c>
      <c r="X55" s="273">
        <f t="shared" si="42"/>
        <v>0</v>
      </c>
    </row>
    <row r="56" spans="1:24" ht="15.75" customHeight="1" x14ac:dyDescent="0.15">
      <c r="A56" s="13"/>
      <c r="B56" s="13">
        <f t="shared" ca="1" si="16"/>
        <v>46691</v>
      </c>
      <c r="C56" s="274"/>
      <c r="D56" s="274"/>
      <c r="E56" s="274"/>
      <c r="F56" s="274"/>
      <c r="G56" s="274"/>
      <c r="H56" s="274"/>
      <c r="I56" s="274"/>
      <c r="J56" s="274"/>
      <c r="K56" s="274"/>
      <c r="L56" s="15">
        <f t="shared" si="17"/>
        <v>90525000</v>
      </c>
      <c r="M56" s="271">
        <f t="shared" si="14"/>
        <v>0.90525</v>
      </c>
      <c r="N56" s="271">
        <f t="shared" si="18"/>
        <v>0</v>
      </c>
      <c r="P56" s="273">
        <f t="shared" ref="P56:X56" si="43">(SUM(C$31:C56)/$L$10*100)</f>
        <v>25</v>
      </c>
      <c r="Q56" s="273">
        <f t="shared" si="43"/>
        <v>7.75</v>
      </c>
      <c r="R56" s="273">
        <f t="shared" si="43"/>
        <v>8.4</v>
      </c>
      <c r="S56" s="273">
        <f t="shared" si="43"/>
        <v>9.375</v>
      </c>
      <c r="T56" s="273">
        <f t="shared" si="43"/>
        <v>20</v>
      </c>
      <c r="U56" s="273">
        <f t="shared" si="43"/>
        <v>0</v>
      </c>
      <c r="V56" s="273">
        <f t="shared" si="43"/>
        <v>20</v>
      </c>
      <c r="W56" s="273">
        <f t="shared" si="43"/>
        <v>0</v>
      </c>
      <c r="X56" s="273">
        <f t="shared" si="43"/>
        <v>0</v>
      </c>
    </row>
    <row r="57" spans="1:24" ht="15.75" customHeight="1" x14ac:dyDescent="0.15">
      <c r="A57" s="13"/>
      <c r="B57" s="13">
        <f t="shared" ca="1" si="16"/>
        <v>46721</v>
      </c>
      <c r="C57" s="274"/>
      <c r="D57" s="274"/>
      <c r="E57" s="274">
        <f>$E$27</f>
        <v>800000</v>
      </c>
      <c r="F57" s="274">
        <f>$F$27</f>
        <v>1406250</v>
      </c>
      <c r="G57" s="274"/>
      <c r="H57" s="274"/>
      <c r="I57" s="274"/>
      <c r="J57" s="274"/>
      <c r="K57" s="274"/>
      <c r="L57" s="15">
        <f t="shared" si="17"/>
        <v>92731250</v>
      </c>
      <c r="M57" s="271">
        <f t="shared" si="14"/>
        <v>0.92731249999999998</v>
      </c>
      <c r="N57" s="271">
        <f t="shared" si="18"/>
        <v>2.2062499999999985E-2</v>
      </c>
      <c r="P57" s="273">
        <f t="shared" ref="P57:X57" si="44">(SUM(C$31:C57)/$L$10*100)</f>
        <v>25</v>
      </c>
      <c r="Q57" s="273">
        <f t="shared" si="44"/>
        <v>7.75</v>
      </c>
      <c r="R57" s="273">
        <f t="shared" si="44"/>
        <v>9.1999999999999993</v>
      </c>
      <c r="S57" s="273">
        <f t="shared" si="44"/>
        <v>10.78125</v>
      </c>
      <c r="T57" s="273">
        <f t="shared" si="44"/>
        <v>20</v>
      </c>
      <c r="U57" s="273">
        <f t="shared" si="44"/>
        <v>0</v>
      </c>
      <c r="V57" s="273">
        <f t="shared" si="44"/>
        <v>20</v>
      </c>
      <c r="W57" s="273">
        <f t="shared" si="44"/>
        <v>0</v>
      </c>
      <c r="X57" s="273">
        <f t="shared" si="44"/>
        <v>0</v>
      </c>
    </row>
    <row r="58" spans="1:24" ht="15.75" customHeight="1" x14ac:dyDescent="0.15">
      <c r="A58" s="211" t="s">
        <v>238</v>
      </c>
      <c r="B58" s="13">
        <f t="shared" ca="1" si="16"/>
        <v>46752</v>
      </c>
      <c r="C58" s="274"/>
      <c r="D58" s="274"/>
      <c r="E58" s="274"/>
      <c r="F58" s="274"/>
      <c r="G58" s="274"/>
      <c r="H58" s="274"/>
      <c r="I58" s="274"/>
      <c r="J58" s="274"/>
      <c r="K58" s="274"/>
      <c r="L58" s="15">
        <f t="shared" si="17"/>
        <v>92731250</v>
      </c>
      <c r="M58" s="271">
        <f t="shared" si="14"/>
        <v>0.92731249999999998</v>
      </c>
      <c r="N58" s="271">
        <f t="shared" si="18"/>
        <v>0</v>
      </c>
      <c r="P58" s="273">
        <f t="shared" ref="P58:X58" si="45">(SUM(C$31:C58)/$L$10*100)</f>
        <v>25</v>
      </c>
      <c r="Q58" s="273">
        <f t="shared" si="45"/>
        <v>7.75</v>
      </c>
      <c r="R58" s="273">
        <f t="shared" si="45"/>
        <v>9.1999999999999993</v>
      </c>
      <c r="S58" s="273">
        <f t="shared" si="45"/>
        <v>10.78125</v>
      </c>
      <c r="T58" s="273">
        <f t="shared" si="45"/>
        <v>20</v>
      </c>
      <c r="U58" s="273">
        <f t="shared" si="45"/>
        <v>0</v>
      </c>
      <c r="V58" s="273">
        <f t="shared" si="45"/>
        <v>20</v>
      </c>
      <c r="W58" s="273">
        <f t="shared" si="45"/>
        <v>0</v>
      </c>
      <c r="X58" s="273">
        <f t="shared" si="45"/>
        <v>0</v>
      </c>
    </row>
    <row r="59" spans="1:24" ht="15.75" customHeight="1" x14ac:dyDescent="0.15">
      <c r="A59" s="13"/>
      <c r="B59" s="13">
        <f t="shared" ca="1" si="16"/>
        <v>46783</v>
      </c>
      <c r="C59" s="274"/>
      <c r="D59" s="274"/>
      <c r="E59" s="274"/>
      <c r="F59" s="274"/>
      <c r="G59" s="274"/>
      <c r="H59" s="274"/>
      <c r="I59" s="274"/>
      <c r="J59" s="274"/>
      <c r="K59" s="274"/>
      <c r="L59" s="15">
        <f t="shared" si="17"/>
        <v>92731250</v>
      </c>
      <c r="M59" s="271">
        <f t="shared" si="14"/>
        <v>0.92731249999999998</v>
      </c>
      <c r="N59" s="271">
        <f t="shared" si="18"/>
        <v>0</v>
      </c>
      <c r="P59" s="273">
        <f t="shared" ref="P59:X59" si="46">(SUM(C$31:C59)/$L$10*100)</f>
        <v>25</v>
      </c>
      <c r="Q59" s="273">
        <f t="shared" si="46"/>
        <v>7.75</v>
      </c>
      <c r="R59" s="273">
        <f t="shared" si="46"/>
        <v>9.1999999999999993</v>
      </c>
      <c r="S59" s="273">
        <f t="shared" si="46"/>
        <v>10.78125</v>
      </c>
      <c r="T59" s="273">
        <f t="shared" si="46"/>
        <v>20</v>
      </c>
      <c r="U59" s="273">
        <f t="shared" si="46"/>
        <v>0</v>
      </c>
      <c r="V59" s="273">
        <f t="shared" si="46"/>
        <v>20</v>
      </c>
      <c r="W59" s="273">
        <f t="shared" si="46"/>
        <v>0</v>
      </c>
      <c r="X59" s="273">
        <f t="shared" si="46"/>
        <v>0</v>
      </c>
    </row>
    <row r="60" spans="1:24" ht="15.75" customHeight="1" x14ac:dyDescent="0.15">
      <c r="A60" s="13"/>
      <c r="B60" s="13">
        <f t="shared" ca="1" si="16"/>
        <v>46812</v>
      </c>
      <c r="C60" s="274"/>
      <c r="D60" s="274"/>
      <c r="E60" s="274">
        <f>$E$27</f>
        <v>800000</v>
      </c>
      <c r="F60" s="274">
        <f>$F$27</f>
        <v>1406250</v>
      </c>
      <c r="G60" s="274"/>
      <c r="H60" s="274"/>
      <c r="I60" s="274"/>
      <c r="J60" s="274"/>
      <c r="K60" s="274"/>
      <c r="L60" s="15">
        <f t="shared" si="17"/>
        <v>94937500</v>
      </c>
      <c r="M60" s="271">
        <f t="shared" si="14"/>
        <v>0.94937499999999997</v>
      </c>
      <c r="N60" s="271">
        <f t="shared" si="18"/>
        <v>2.2062499999999985E-2</v>
      </c>
      <c r="P60" s="273">
        <f t="shared" ref="P60:X60" si="47">(SUM(C$31:C60)/$L$10*100)</f>
        <v>25</v>
      </c>
      <c r="Q60" s="273">
        <f t="shared" si="47"/>
        <v>7.75</v>
      </c>
      <c r="R60" s="273">
        <f t="shared" si="47"/>
        <v>10</v>
      </c>
      <c r="S60" s="273">
        <f t="shared" si="47"/>
        <v>12.1875</v>
      </c>
      <c r="T60" s="273">
        <f t="shared" si="47"/>
        <v>20</v>
      </c>
      <c r="U60" s="273">
        <f t="shared" si="47"/>
        <v>0</v>
      </c>
      <c r="V60" s="273">
        <f t="shared" si="47"/>
        <v>20</v>
      </c>
      <c r="W60" s="273">
        <f t="shared" si="47"/>
        <v>0</v>
      </c>
      <c r="X60" s="273">
        <f t="shared" si="47"/>
        <v>0</v>
      </c>
    </row>
    <row r="61" spans="1:24" ht="15.75" customHeight="1" x14ac:dyDescent="0.15">
      <c r="A61" s="211" t="s">
        <v>239</v>
      </c>
      <c r="B61" s="13">
        <f t="shared" ca="1" si="16"/>
        <v>46843</v>
      </c>
      <c r="C61" s="274"/>
      <c r="D61" s="274"/>
      <c r="E61" s="274"/>
      <c r="F61" s="274"/>
      <c r="G61" s="274"/>
      <c r="H61" s="274"/>
      <c r="I61" s="274"/>
      <c r="J61" s="274"/>
      <c r="K61" s="274"/>
      <c r="L61" s="15">
        <f t="shared" si="17"/>
        <v>94937500</v>
      </c>
      <c r="M61" s="271">
        <f t="shared" si="14"/>
        <v>0.94937499999999997</v>
      </c>
      <c r="N61" s="271">
        <f t="shared" si="18"/>
        <v>0</v>
      </c>
      <c r="P61" s="273">
        <f t="shared" ref="P61:X61" si="48">(SUM(C$31:C61)/$L$10*100)</f>
        <v>25</v>
      </c>
      <c r="Q61" s="273">
        <f t="shared" si="48"/>
        <v>7.75</v>
      </c>
      <c r="R61" s="273">
        <f t="shared" si="48"/>
        <v>10</v>
      </c>
      <c r="S61" s="273">
        <f t="shared" si="48"/>
        <v>12.1875</v>
      </c>
      <c r="T61" s="273">
        <f t="shared" si="48"/>
        <v>20</v>
      </c>
      <c r="U61" s="273">
        <f t="shared" si="48"/>
        <v>0</v>
      </c>
      <c r="V61" s="273">
        <f t="shared" si="48"/>
        <v>20</v>
      </c>
      <c r="W61" s="273">
        <f t="shared" si="48"/>
        <v>0</v>
      </c>
      <c r="X61" s="273">
        <f t="shared" si="48"/>
        <v>0</v>
      </c>
    </row>
    <row r="62" spans="1:24" ht="15.75" customHeight="1" x14ac:dyDescent="0.15">
      <c r="A62" s="13"/>
      <c r="B62" s="13">
        <f t="shared" ca="1" si="16"/>
        <v>46873</v>
      </c>
      <c r="C62" s="274"/>
      <c r="D62" s="274"/>
      <c r="E62" s="274"/>
      <c r="F62" s="274"/>
      <c r="G62" s="274"/>
      <c r="H62" s="274"/>
      <c r="I62" s="274"/>
      <c r="J62" s="274"/>
      <c r="K62" s="274"/>
      <c r="L62" s="15">
        <f t="shared" si="17"/>
        <v>94937500</v>
      </c>
      <c r="M62" s="271">
        <f t="shared" si="14"/>
        <v>0.94937499999999997</v>
      </c>
      <c r="N62" s="271">
        <f t="shared" si="18"/>
        <v>0</v>
      </c>
      <c r="P62" s="273">
        <f t="shared" ref="P62:X62" si="49">(SUM(C$31:C62)/$L$10*100)</f>
        <v>25</v>
      </c>
      <c r="Q62" s="273">
        <f t="shared" si="49"/>
        <v>7.75</v>
      </c>
      <c r="R62" s="273">
        <f t="shared" si="49"/>
        <v>10</v>
      </c>
      <c r="S62" s="273">
        <f t="shared" si="49"/>
        <v>12.1875</v>
      </c>
      <c r="T62" s="273">
        <f t="shared" si="49"/>
        <v>20</v>
      </c>
      <c r="U62" s="273">
        <f t="shared" si="49"/>
        <v>0</v>
      </c>
      <c r="V62" s="273">
        <f t="shared" si="49"/>
        <v>20</v>
      </c>
      <c r="W62" s="273">
        <f t="shared" si="49"/>
        <v>0</v>
      </c>
      <c r="X62" s="273">
        <f t="shared" si="49"/>
        <v>0</v>
      </c>
    </row>
    <row r="63" spans="1:24" ht="15.75" customHeight="1" x14ac:dyDescent="0.15">
      <c r="A63" s="13"/>
      <c r="B63" s="13">
        <f t="shared" ca="1" si="16"/>
        <v>46904</v>
      </c>
      <c r="C63" s="274"/>
      <c r="D63" s="274"/>
      <c r="E63" s="274"/>
      <c r="F63" s="274">
        <f>$F$27</f>
        <v>1406250</v>
      </c>
      <c r="G63" s="274"/>
      <c r="H63" s="274"/>
      <c r="I63" s="274"/>
      <c r="J63" s="274"/>
      <c r="K63" s="274"/>
      <c r="L63" s="15">
        <f t="shared" si="17"/>
        <v>96343750</v>
      </c>
      <c r="M63" s="271">
        <f t="shared" si="14"/>
        <v>0.96343749999999995</v>
      </c>
      <c r="N63" s="271">
        <f t="shared" si="18"/>
        <v>1.4062499999999978E-2</v>
      </c>
      <c r="P63" s="273">
        <f t="shared" ref="P63:X63" si="50">(SUM(C$31:C63)/$L$10*100)</f>
        <v>25</v>
      </c>
      <c r="Q63" s="273">
        <f t="shared" si="50"/>
        <v>7.75</v>
      </c>
      <c r="R63" s="273">
        <f t="shared" si="50"/>
        <v>10</v>
      </c>
      <c r="S63" s="273">
        <f t="shared" si="50"/>
        <v>13.593749999999998</v>
      </c>
      <c r="T63" s="273">
        <f t="shared" si="50"/>
        <v>20</v>
      </c>
      <c r="U63" s="273">
        <f t="shared" si="50"/>
        <v>0</v>
      </c>
      <c r="V63" s="273">
        <f t="shared" si="50"/>
        <v>20</v>
      </c>
      <c r="W63" s="273">
        <f t="shared" si="50"/>
        <v>0</v>
      </c>
      <c r="X63" s="273">
        <f t="shared" si="50"/>
        <v>0</v>
      </c>
    </row>
    <row r="64" spans="1:24" ht="15.75" customHeight="1" x14ac:dyDescent="0.15">
      <c r="A64" s="211" t="s">
        <v>240</v>
      </c>
      <c r="B64" s="13">
        <f t="shared" ca="1" si="16"/>
        <v>46934</v>
      </c>
      <c r="C64" s="274"/>
      <c r="D64" s="274"/>
      <c r="E64" s="274"/>
      <c r="F64" s="274"/>
      <c r="G64" s="274"/>
      <c r="H64" s="274"/>
      <c r="I64" s="274"/>
      <c r="J64" s="274"/>
      <c r="K64" s="274"/>
      <c r="L64" s="15">
        <f t="shared" si="17"/>
        <v>96343750</v>
      </c>
      <c r="M64" s="271">
        <f t="shared" si="14"/>
        <v>0.96343749999999995</v>
      </c>
      <c r="N64" s="271">
        <f t="shared" si="18"/>
        <v>0</v>
      </c>
      <c r="P64" s="273">
        <f t="shared" ref="P64:X64" si="51">(SUM(C$31:C64)/$L$10*100)</f>
        <v>25</v>
      </c>
      <c r="Q64" s="273">
        <f t="shared" si="51"/>
        <v>7.75</v>
      </c>
      <c r="R64" s="273">
        <f t="shared" si="51"/>
        <v>10</v>
      </c>
      <c r="S64" s="273">
        <f t="shared" si="51"/>
        <v>13.593749999999998</v>
      </c>
      <c r="T64" s="273">
        <f t="shared" si="51"/>
        <v>20</v>
      </c>
      <c r="U64" s="273">
        <f t="shared" si="51"/>
        <v>0</v>
      </c>
      <c r="V64" s="273">
        <f t="shared" si="51"/>
        <v>20</v>
      </c>
      <c r="W64" s="273">
        <f t="shared" si="51"/>
        <v>0</v>
      </c>
      <c r="X64" s="273">
        <f t="shared" si="51"/>
        <v>0</v>
      </c>
    </row>
    <row r="65" spans="1:24" ht="15.75" customHeight="1" x14ac:dyDescent="0.15">
      <c r="A65" s="13"/>
      <c r="B65" s="13">
        <f t="shared" ca="1" si="16"/>
        <v>46965</v>
      </c>
      <c r="C65" s="274"/>
      <c r="D65" s="274"/>
      <c r="E65" s="274"/>
      <c r="F65" s="274"/>
      <c r="G65" s="274"/>
      <c r="H65" s="274"/>
      <c r="I65" s="274"/>
      <c r="J65" s="274"/>
      <c r="K65" s="274"/>
      <c r="L65" s="15">
        <f t="shared" si="17"/>
        <v>96343750</v>
      </c>
      <c r="M65" s="271">
        <f t="shared" si="14"/>
        <v>0.96343749999999995</v>
      </c>
      <c r="N65" s="271">
        <f t="shared" si="18"/>
        <v>0</v>
      </c>
      <c r="P65" s="273">
        <f t="shared" ref="P65:X65" si="52">(SUM(C$31:C65)/$L$10*100)</f>
        <v>25</v>
      </c>
      <c r="Q65" s="273">
        <f t="shared" si="52"/>
        <v>7.75</v>
      </c>
      <c r="R65" s="273">
        <f t="shared" si="52"/>
        <v>10</v>
      </c>
      <c r="S65" s="273">
        <f t="shared" si="52"/>
        <v>13.593749999999998</v>
      </c>
      <c r="T65" s="273">
        <f t="shared" si="52"/>
        <v>20</v>
      </c>
      <c r="U65" s="273">
        <f t="shared" si="52"/>
        <v>0</v>
      </c>
      <c r="V65" s="273">
        <f t="shared" si="52"/>
        <v>20</v>
      </c>
      <c r="W65" s="273">
        <f t="shared" si="52"/>
        <v>0</v>
      </c>
      <c r="X65" s="273">
        <f t="shared" si="52"/>
        <v>0</v>
      </c>
    </row>
    <row r="66" spans="1:24" ht="15.75" customHeight="1" x14ac:dyDescent="0.15">
      <c r="A66" s="13"/>
      <c r="B66" s="13">
        <f t="shared" ca="1" si="16"/>
        <v>46996</v>
      </c>
      <c r="C66" s="274"/>
      <c r="D66" s="274"/>
      <c r="E66" s="274"/>
      <c r="F66" s="274">
        <f>$F$27</f>
        <v>1406250</v>
      </c>
      <c r="G66" s="274"/>
      <c r="H66" s="274"/>
      <c r="I66" s="274"/>
      <c r="J66" s="274"/>
      <c r="K66" s="274"/>
      <c r="L66" s="15">
        <f t="shared" si="17"/>
        <v>97750000</v>
      </c>
      <c r="M66" s="271">
        <f t="shared" si="14"/>
        <v>0.97750000000000004</v>
      </c>
      <c r="N66" s="271">
        <f t="shared" si="18"/>
        <v>1.4062500000000089E-2</v>
      </c>
      <c r="P66" s="273">
        <f t="shared" ref="P66:X66" si="53">(SUM(C$31:C66)/$L$10*100)</f>
        <v>25</v>
      </c>
      <c r="Q66" s="273">
        <f t="shared" si="53"/>
        <v>7.75</v>
      </c>
      <c r="R66" s="273">
        <f t="shared" si="53"/>
        <v>10</v>
      </c>
      <c r="S66" s="273">
        <f t="shared" si="53"/>
        <v>15</v>
      </c>
      <c r="T66" s="273">
        <f t="shared" si="53"/>
        <v>20</v>
      </c>
      <c r="U66" s="273">
        <f t="shared" si="53"/>
        <v>0</v>
      </c>
      <c r="V66" s="273">
        <f t="shared" si="53"/>
        <v>20</v>
      </c>
      <c r="W66" s="273">
        <f t="shared" si="53"/>
        <v>0</v>
      </c>
      <c r="X66" s="273">
        <f t="shared" si="53"/>
        <v>0</v>
      </c>
    </row>
    <row r="67" spans="1:24" ht="15.75" customHeight="1" x14ac:dyDescent="0.15">
      <c r="A67" s="211" t="s">
        <v>241</v>
      </c>
      <c r="B67" s="13">
        <f t="shared" ca="1" si="16"/>
        <v>47026</v>
      </c>
      <c r="C67" s="274"/>
      <c r="D67" s="274"/>
      <c r="E67" s="274"/>
      <c r="F67" s="274"/>
      <c r="G67" s="274"/>
      <c r="H67" s="274"/>
      <c r="I67" s="274"/>
      <c r="J67" s="274"/>
      <c r="K67" s="274"/>
      <c r="L67" s="15">
        <f t="shared" si="17"/>
        <v>97750000</v>
      </c>
      <c r="M67" s="271">
        <f t="shared" si="14"/>
        <v>0.97750000000000004</v>
      </c>
      <c r="N67" s="271">
        <f t="shared" si="18"/>
        <v>0</v>
      </c>
      <c r="P67" s="273">
        <f t="shared" ref="P67:X67" si="54">(SUM(C$31:C67)/$L$10*100)</f>
        <v>25</v>
      </c>
      <c r="Q67" s="273">
        <f t="shared" si="54"/>
        <v>7.75</v>
      </c>
      <c r="R67" s="273">
        <f t="shared" si="54"/>
        <v>10</v>
      </c>
      <c r="S67" s="273">
        <f t="shared" si="54"/>
        <v>15</v>
      </c>
      <c r="T67" s="273">
        <f t="shared" si="54"/>
        <v>20</v>
      </c>
      <c r="U67" s="273">
        <f t="shared" si="54"/>
        <v>0</v>
      </c>
      <c r="V67" s="273">
        <f t="shared" si="54"/>
        <v>20</v>
      </c>
      <c r="W67" s="273">
        <f t="shared" si="54"/>
        <v>0</v>
      </c>
      <c r="X67" s="273">
        <f t="shared" si="54"/>
        <v>0</v>
      </c>
    </row>
    <row r="68" spans="1:24" ht="15.75" customHeight="1" x14ac:dyDescent="0.15">
      <c r="A68" s="13"/>
      <c r="B68" s="13">
        <f t="shared" ca="1" si="16"/>
        <v>47057</v>
      </c>
      <c r="C68" s="274"/>
      <c r="D68" s="274"/>
      <c r="E68" s="274"/>
      <c r="F68" s="274"/>
      <c r="G68" s="274"/>
      <c r="H68" s="274"/>
      <c r="I68" s="274"/>
      <c r="J68" s="274"/>
      <c r="K68" s="274"/>
      <c r="L68" s="15">
        <f t="shared" si="17"/>
        <v>97750000</v>
      </c>
      <c r="M68" s="271">
        <f t="shared" si="14"/>
        <v>0.97750000000000004</v>
      </c>
      <c r="N68" s="271">
        <f t="shared" si="18"/>
        <v>0</v>
      </c>
      <c r="P68" s="273">
        <f t="shared" ref="P68:X68" si="55">(SUM(C$31:C68)/$L$10*100)</f>
        <v>25</v>
      </c>
      <c r="Q68" s="273">
        <f t="shared" si="55"/>
        <v>7.75</v>
      </c>
      <c r="R68" s="273">
        <f t="shared" si="55"/>
        <v>10</v>
      </c>
      <c r="S68" s="273">
        <f t="shared" si="55"/>
        <v>15</v>
      </c>
      <c r="T68" s="273">
        <f t="shared" si="55"/>
        <v>20</v>
      </c>
      <c r="U68" s="273">
        <f t="shared" si="55"/>
        <v>0</v>
      </c>
      <c r="V68" s="273">
        <f t="shared" si="55"/>
        <v>20</v>
      </c>
      <c r="W68" s="273">
        <f t="shared" si="55"/>
        <v>0</v>
      </c>
      <c r="X68" s="273">
        <f t="shared" si="55"/>
        <v>0</v>
      </c>
    </row>
    <row r="69" spans="1:24" ht="15.75" customHeight="1" x14ac:dyDescent="0.15">
      <c r="A69" s="13"/>
      <c r="B69" s="13">
        <f t="shared" ca="1" si="16"/>
        <v>47087</v>
      </c>
      <c r="C69" s="274"/>
      <c r="D69" s="274"/>
      <c r="E69" s="274"/>
      <c r="F69" s="274"/>
      <c r="G69" s="274"/>
      <c r="H69" s="274"/>
      <c r="I69" s="274"/>
      <c r="J69" s="274"/>
      <c r="K69" s="274"/>
      <c r="L69" s="15">
        <f t="shared" si="17"/>
        <v>97750000</v>
      </c>
      <c r="M69" s="271">
        <f t="shared" si="14"/>
        <v>0.97750000000000004</v>
      </c>
      <c r="N69" s="271">
        <f t="shared" si="18"/>
        <v>0</v>
      </c>
      <c r="P69" s="273">
        <f t="shared" ref="P69:X69" si="56">(SUM(C$31:C69)/$L$10*100)</f>
        <v>25</v>
      </c>
      <c r="Q69" s="273">
        <f t="shared" si="56"/>
        <v>7.75</v>
      </c>
      <c r="R69" s="273">
        <f t="shared" si="56"/>
        <v>10</v>
      </c>
      <c r="S69" s="273">
        <f t="shared" si="56"/>
        <v>15</v>
      </c>
      <c r="T69" s="273">
        <f t="shared" si="56"/>
        <v>20</v>
      </c>
      <c r="U69" s="273">
        <f t="shared" si="56"/>
        <v>0</v>
      </c>
      <c r="V69" s="273">
        <f t="shared" si="56"/>
        <v>20</v>
      </c>
      <c r="W69" s="273">
        <f t="shared" si="56"/>
        <v>0</v>
      </c>
      <c r="X69" s="273">
        <f t="shared" si="56"/>
        <v>0</v>
      </c>
    </row>
    <row r="70" spans="1:24" ht="15.75" customHeight="1" x14ac:dyDescent="0.15">
      <c r="A70" s="211" t="s">
        <v>242</v>
      </c>
      <c r="B70" s="13">
        <f t="shared" ca="1" si="16"/>
        <v>47118</v>
      </c>
      <c r="C70" s="274"/>
      <c r="D70" s="274"/>
      <c r="E70" s="274"/>
      <c r="F70" s="274"/>
      <c r="G70" s="274"/>
      <c r="H70" s="274"/>
      <c r="I70" s="274"/>
      <c r="J70" s="274"/>
      <c r="K70" s="274"/>
      <c r="L70" s="15">
        <f t="shared" si="17"/>
        <v>97750000</v>
      </c>
      <c r="M70" s="271">
        <f t="shared" si="14"/>
        <v>0.97750000000000004</v>
      </c>
      <c r="N70" s="271">
        <f t="shared" si="18"/>
        <v>0</v>
      </c>
      <c r="P70" s="273">
        <f t="shared" ref="P70:X70" si="57">(SUM(C$31:C70)/$L$10*100)</f>
        <v>25</v>
      </c>
      <c r="Q70" s="273">
        <f t="shared" si="57"/>
        <v>7.75</v>
      </c>
      <c r="R70" s="273">
        <f t="shared" si="57"/>
        <v>10</v>
      </c>
      <c r="S70" s="273">
        <f t="shared" si="57"/>
        <v>15</v>
      </c>
      <c r="T70" s="273">
        <f t="shared" si="57"/>
        <v>20</v>
      </c>
      <c r="U70" s="273">
        <f t="shared" si="57"/>
        <v>0</v>
      </c>
      <c r="V70" s="273">
        <f t="shared" si="57"/>
        <v>20</v>
      </c>
      <c r="W70" s="273">
        <f t="shared" si="57"/>
        <v>0</v>
      </c>
      <c r="X70" s="273">
        <f t="shared" si="57"/>
        <v>0</v>
      </c>
    </row>
    <row r="71" spans="1:24" ht="15.75" customHeight="1" x14ac:dyDescent="0.15">
      <c r="A71" s="13"/>
      <c r="B71" s="13">
        <f t="shared" ca="1" si="16"/>
        <v>47149</v>
      </c>
      <c r="C71" s="274"/>
      <c r="D71" s="274"/>
      <c r="E71" s="274"/>
      <c r="F71" s="274"/>
      <c r="G71" s="274"/>
      <c r="H71" s="274"/>
      <c r="I71" s="274"/>
      <c r="J71" s="274"/>
      <c r="K71" s="274"/>
      <c r="L71" s="15">
        <f t="shared" si="17"/>
        <v>97750000</v>
      </c>
      <c r="M71" s="271">
        <f t="shared" si="14"/>
        <v>0.97750000000000004</v>
      </c>
      <c r="N71" s="271">
        <f t="shared" si="18"/>
        <v>0</v>
      </c>
      <c r="P71" s="273">
        <f t="shared" ref="P71:X71" si="58">(SUM(C$31:C71)/$L$10*100)</f>
        <v>25</v>
      </c>
      <c r="Q71" s="273">
        <f t="shared" si="58"/>
        <v>7.75</v>
      </c>
      <c r="R71" s="273">
        <f t="shared" si="58"/>
        <v>10</v>
      </c>
      <c r="S71" s="273">
        <f t="shared" si="58"/>
        <v>15</v>
      </c>
      <c r="T71" s="273">
        <f t="shared" si="58"/>
        <v>20</v>
      </c>
      <c r="U71" s="273">
        <f t="shared" si="58"/>
        <v>0</v>
      </c>
      <c r="V71" s="273">
        <f t="shared" si="58"/>
        <v>20</v>
      </c>
      <c r="W71" s="273">
        <f t="shared" si="58"/>
        <v>0</v>
      </c>
      <c r="X71" s="273">
        <f t="shared" si="58"/>
        <v>0</v>
      </c>
    </row>
    <row r="72" spans="1:24" ht="15.75" customHeight="1" x14ac:dyDescent="0.15">
      <c r="A72" s="13"/>
      <c r="B72" s="13">
        <f t="shared" ca="1" si="16"/>
        <v>47177</v>
      </c>
      <c r="C72" s="274"/>
      <c r="D72" s="274"/>
      <c r="E72" s="274"/>
      <c r="F72" s="274"/>
      <c r="G72" s="274"/>
      <c r="H72" s="274"/>
      <c r="I72" s="274"/>
      <c r="J72" s="274"/>
      <c r="K72" s="274"/>
      <c r="L72" s="15">
        <f t="shared" si="17"/>
        <v>97750000</v>
      </c>
      <c r="M72" s="271">
        <f t="shared" si="14"/>
        <v>0.97750000000000004</v>
      </c>
      <c r="N72" s="271">
        <f t="shared" si="18"/>
        <v>0</v>
      </c>
      <c r="P72" s="273">
        <f t="shared" ref="P72:X72" si="59">(SUM(C$31:C72)/$L$10*100)</f>
        <v>25</v>
      </c>
      <c r="Q72" s="273">
        <f t="shared" si="59"/>
        <v>7.75</v>
      </c>
      <c r="R72" s="273">
        <f t="shared" si="59"/>
        <v>10</v>
      </c>
      <c r="S72" s="273">
        <f t="shared" si="59"/>
        <v>15</v>
      </c>
      <c r="T72" s="273">
        <f t="shared" si="59"/>
        <v>20</v>
      </c>
      <c r="U72" s="273">
        <f t="shared" si="59"/>
        <v>0</v>
      </c>
      <c r="V72" s="273">
        <f t="shared" si="59"/>
        <v>20</v>
      </c>
      <c r="W72" s="273">
        <f t="shared" si="59"/>
        <v>0</v>
      </c>
      <c r="X72" s="273">
        <f t="shared" si="59"/>
        <v>0</v>
      </c>
    </row>
    <row r="73" spans="1:24" ht="15.75" customHeight="1" x14ac:dyDescent="0.15">
      <c r="A73" s="211" t="s">
        <v>243</v>
      </c>
      <c r="B73" s="13">
        <f t="shared" ca="1" si="16"/>
        <v>47208</v>
      </c>
      <c r="C73" s="274"/>
      <c r="D73" s="274"/>
      <c r="E73" s="274"/>
      <c r="F73" s="274"/>
      <c r="G73" s="274"/>
      <c r="H73" s="274"/>
      <c r="I73" s="274"/>
      <c r="J73" s="274"/>
      <c r="K73" s="274"/>
      <c r="L73" s="15">
        <f t="shared" si="17"/>
        <v>97750000</v>
      </c>
      <c r="M73" s="271">
        <f t="shared" si="14"/>
        <v>0.97750000000000004</v>
      </c>
      <c r="N73" s="271">
        <f t="shared" si="18"/>
        <v>0</v>
      </c>
      <c r="P73" s="273">
        <f t="shared" ref="P73:X73" si="60">(SUM(C$31:C73)/$L$10*100)</f>
        <v>25</v>
      </c>
      <c r="Q73" s="273">
        <f t="shared" si="60"/>
        <v>7.75</v>
      </c>
      <c r="R73" s="273">
        <f t="shared" si="60"/>
        <v>10</v>
      </c>
      <c r="S73" s="273">
        <f t="shared" si="60"/>
        <v>15</v>
      </c>
      <c r="T73" s="273">
        <f t="shared" si="60"/>
        <v>20</v>
      </c>
      <c r="U73" s="273">
        <f t="shared" si="60"/>
        <v>0</v>
      </c>
      <c r="V73" s="273">
        <f t="shared" si="60"/>
        <v>20</v>
      </c>
      <c r="W73" s="273">
        <f t="shared" si="60"/>
        <v>0</v>
      </c>
      <c r="X73" s="273">
        <f t="shared" si="60"/>
        <v>0</v>
      </c>
    </row>
    <row r="74" spans="1:24" ht="15.75" customHeight="1" x14ac:dyDescent="0.15">
      <c r="A74" s="13"/>
      <c r="B74" s="13">
        <f t="shared" ca="1" si="16"/>
        <v>47238</v>
      </c>
      <c r="C74" s="274"/>
      <c r="D74" s="274"/>
      <c r="E74" s="274"/>
      <c r="F74" s="274"/>
      <c r="G74" s="274"/>
      <c r="H74" s="274"/>
      <c r="I74" s="274"/>
      <c r="J74" s="274"/>
      <c r="K74" s="274"/>
      <c r="L74" s="15">
        <f t="shared" si="17"/>
        <v>97750000</v>
      </c>
      <c r="M74" s="271">
        <f t="shared" si="14"/>
        <v>0.97750000000000004</v>
      </c>
      <c r="N74" s="271">
        <f t="shared" si="18"/>
        <v>0</v>
      </c>
      <c r="P74" s="273">
        <f t="shared" ref="P74:X74" si="61">(SUM(C$31:C74)/$L$10*100)</f>
        <v>25</v>
      </c>
      <c r="Q74" s="273">
        <f t="shared" si="61"/>
        <v>7.75</v>
      </c>
      <c r="R74" s="273">
        <f t="shared" si="61"/>
        <v>10</v>
      </c>
      <c r="S74" s="273">
        <f t="shared" si="61"/>
        <v>15</v>
      </c>
      <c r="T74" s="273">
        <f t="shared" si="61"/>
        <v>20</v>
      </c>
      <c r="U74" s="273">
        <f t="shared" si="61"/>
        <v>0</v>
      </c>
      <c r="V74" s="273">
        <f t="shared" si="61"/>
        <v>20</v>
      </c>
      <c r="W74" s="273">
        <f t="shared" si="61"/>
        <v>0</v>
      </c>
      <c r="X74" s="273">
        <f t="shared" si="61"/>
        <v>0</v>
      </c>
    </row>
    <row r="75" spans="1:24" ht="15.75" customHeight="1" x14ac:dyDescent="0.15">
      <c r="A75" s="13"/>
      <c r="B75" s="13">
        <f t="shared" ca="1" si="16"/>
        <v>47269</v>
      </c>
      <c r="C75" s="274"/>
      <c r="D75" s="274"/>
      <c r="E75" s="274"/>
      <c r="F75" s="274"/>
      <c r="G75" s="274"/>
      <c r="H75" s="274"/>
      <c r="I75" s="274"/>
      <c r="J75" s="274"/>
      <c r="K75" s="274"/>
      <c r="L75" s="15">
        <f t="shared" si="17"/>
        <v>97750000</v>
      </c>
      <c r="M75" s="271">
        <f t="shared" si="14"/>
        <v>0.97750000000000004</v>
      </c>
      <c r="N75" s="271">
        <f t="shared" si="18"/>
        <v>0</v>
      </c>
      <c r="P75" s="273">
        <f t="shared" ref="P75:X75" si="62">(SUM(C$31:C75)/$L$10*100)</f>
        <v>25</v>
      </c>
      <c r="Q75" s="273">
        <f t="shared" si="62"/>
        <v>7.75</v>
      </c>
      <c r="R75" s="273">
        <f t="shared" si="62"/>
        <v>10</v>
      </c>
      <c r="S75" s="273">
        <f t="shared" si="62"/>
        <v>15</v>
      </c>
      <c r="T75" s="273">
        <f t="shared" si="62"/>
        <v>20</v>
      </c>
      <c r="U75" s="273">
        <f t="shared" si="62"/>
        <v>0</v>
      </c>
      <c r="V75" s="273">
        <f t="shared" si="62"/>
        <v>20</v>
      </c>
      <c r="W75" s="273">
        <f t="shared" si="62"/>
        <v>0</v>
      </c>
      <c r="X75" s="273">
        <f t="shared" si="62"/>
        <v>0</v>
      </c>
    </row>
    <row r="76" spans="1:24" ht="15.75" customHeight="1" x14ac:dyDescent="0.15">
      <c r="A76" s="211" t="s">
        <v>244</v>
      </c>
      <c r="B76" s="13">
        <f t="shared" ca="1" si="16"/>
        <v>47299</v>
      </c>
      <c r="C76" s="274"/>
      <c r="D76" s="274"/>
      <c r="E76" s="274"/>
      <c r="F76" s="274"/>
      <c r="G76" s="274"/>
      <c r="H76" s="274"/>
      <c r="I76" s="274"/>
      <c r="J76" s="274"/>
      <c r="K76" s="274"/>
      <c r="L76" s="15">
        <f t="shared" si="17"/>
        <v>97750000</v>
      </c>
      <c r="M76" s="271">
        <f t="shared" si="14"/>
        <v>0.97750000000000004</v>
      </c>
      <c r="N76" s="271">
        <f t="shared" si="18"/>
        <v>0</v>
      </c>
      <c r="P76" s="273">
        <f t="shared" ref="P76:X76" si="63">(SUM(C$31:C76)/$L$10*100)</f>
        <v>25</v>
      </c>
      <c r="Q76" s="273">
        <f t="shared" si="63"/>
        <v>7.75</v>
      </c>
      <c r="R76" s="273">
        <f t="shared" si="63"/>
        <v>10</v>
      </c>
      <c r="S76" s="273">
        <f t="shared" si="63"/>
        <v>15</v>
      </c>
      <c r="T76" s="273">
        <f t="shared" si="63"/>
        <v>20</v>
      </c>
      <c r="U76" s="273">
        <f t="shared" si="63"/>
        <v>0</v>
      </c>
      <c r="V76" s="273">
        <f t="shared" si="63"/>
        <v>20</v>
      </c>
      <c r="W76" s="273">
        <f t="shared" si="63"/>
        <v>0</v>
      </c>
      <c r="X76" s="273">
        <f t="shared" si="63"/>
        <v>0</v>
      </c>
    </row>
    <row r="77" spans="1:24" ht="15.75" customHeight="1" x14ac:dyDescent="0.15">
      <c r="A77" s="13"/>
      <c r="B77" s="13">
        <f t="shared" ca="1" si="16"/>
        <v>47330</v>
      </c>
      <c r="C77" s="274"/>
      <c r="D77" s="274"/>
      <c r="E77" s="274"/>
      <c r="F77" s="274"/>
      <c r="G77" s="274"/>
      <c r="H77" s="274"/>
      <c r="I77" s="274"/>
      <c r="J77" s="274"/>
      <c r="K77" s="274"/>
      <c r="L77" s="15">
        <f t="shared" si="17"/>
        <v>97750000</v>
      </c>
      <c r="M77" s="271">
        <f t="shared" si="14"/>
        <v>0.97750000000000004</v>
      </c>
      <c r="N77" s="271">
        <f t="shared" si="18"/>
        <v>0</v>
      </c>
      <c r="P77" s="273">
        <f t="shared" ref="P77:X77" si="64">(SUM(C$31:C77)/$L$10*100)</f>
        <v>25</v>
      </c>
      <c r="Q77" s="273">
        <f t="shared" si="64"/>
        <v>7.75</v>
      </c>
      <c r="R77" s="273">
        <f t="shared" si="64"/>
        <v>10</v>
      </c>
      <c r="S77" s="273">
        <f t="shared" si="64"/>
        <v>15</v>
      </c>
      <c r="T77" s="273">
        <f t="shared" si="64"/>
        <v>20</v>
      </c>
      <c r="U77" s="273">
        <f t="shared" si="64"/>
        <v>0</v>
      </c>
      <c r="V77" s="273">
        <f t="shared" si="64"/>
        <v>20</v>
      </c>
      <c r="W77" s="273">
        <f t="shared" si="64"/>
        <v>0</v>
      </c>
      <c r="X77" s="273">
        <f t="shared" si="64"/>
        <v>0</v>
      </c>
    </row>
    <row r="78" spans="1:24" ht="15.75" customHeight="1" x14ac:dyDescent="0.15">
      <c r="A78" s="13"/>
      <c r="B78" s="13">
        <f t="shared" ca="1" si="16"/>
        <v>47361</v>
      </c>
      <c r="C78" s="274"/>
      <c r="D78" s="274"/>
      <c r="E78" s="274"/>
      <c r="F78" s="274"/>
      <c r="G78" s="274"/>
      <c r="H78" s="274"/>
      <c r="I78" s="274"/>
      <c r="J78" s="274"/>
      <c r="K78" s="274"/>
      <c r="L78" s="15">
        <f t="shared" si="17"/>
        <v>97750000</v>
      </c>
      <c r="M78" s="271">
        <f t="shared" si="14"/>
        <v>0.97750000000000004</v>
      </c>
      <c r="N78" s="271">
        <f t="shared" si="18"/>
        <v>0</v>
      </c>
      <c r="P78" s="273">
        <f t="shared" ref="P78:X78" si="65">(SUM(C$31:C78)/$L$10*100)</f>
        <v>25</v>
      </c>
      <c r="Q78" s="273">
        <f t="shared" si="65"/>
        <v>7.75</v>
      </c>
      <c r="R78" s="273">
        <f t="shared" si="65"/>
        <v>10</v>
      </c>
      <c r="S78" s="273">
        <f t="shared" si="65"/>
        <v>15</v>
      </c>
      <c r="T78" s="273">
        <f t="shared" si="65"/>
        <v>20</v>
      </c>
      <c r="U78" s="273">
        <f t="shared" si="65"/>
        <v>0</v>
      </c>
      <c r="V78" s="273">
        <f t="shared" si="65"/>
        <v>20</v>
      </c>
      <c r="W78" s="273">
        <f t="shared" si="65"/>
        <v>0</v>
      </c>
      <c r="X78" s="273">
        <f t="shared" si="65"/>
        <v>0</v>
      </c>
    </row>
    <row r="79" spans="1:24" ht="15.75" customHeight="1" x14ac:dyDescent="0.15">
      <c r="A79" s="211" t="s">
        <v>245</v>
      </c>
      <c r="B79" s="13">
        <f t="shared" ca="1" si="16"/>
        <v>47391</v>
      </c>
      <c r="C79" s="274"/>
      <c r="D79" s="274"/>
      <c r="E79" s="274"/>
      <c r="F79" s="274"/>
      <c r="G79" s="274"/>
      <c r="H79" s="274"/>
      <c r="I79" s="274"/>
      <c r="J79" s="274"/>
      <c r="K79" s="274"/>
      <c r="L79" s="15">
        <f t="shared" si="17"/>
        <v>97750000</v>
      </c>
      <c r="M79" s="271">
        <f t="shared" si="14"/>
        <v>0.97750000000000004</v>
      </c>
      <c r="N79" s="271">
        <f t="shared" si="18"/>
        <v>0</v>
      </c>
      <c r="P79" s="273">
        <f t="shared" ref="P79:X79" si="66">(SUM(C$31:C79)/$L$10*100)</f>
        <v>25</v>
      </c>
      <c r="Q79" s="273">
        <f t="shared" si="66"/>
        <v>7.75</v>
      </c>
      <c r="R79" s="273">
        <f t="shared" si="66"/>
        <v>10</v>
      </c>
      <c r="S79" s="273">
        <f t="shared" si="66"/>
        <v>15</v>
      </c>
      <c r="T79" s="273">
        <f t="shared" si="66"/>
        <v>20</v>
      </c>
      <c r="U79" s="273">
        <f t="shared" si="66"/>
        <v>0</v>
      </c>
      <c r="V79" s="273">
        <f t="shared" si="66"/>
        <v>20</v>
      </c>
      <c r="W79" s="273">
        <f t="shared" si="66"/>
        <v>0</v>
      </c>
      <c r="X79" s="273">
        <f t="shared" si="66"/>
        <v>0</v>
      </c>
    </row>
    <row r="80" spans="1:24" ht="15.75" customHeight="1" x14ac:dyDescent="0.15">
      <c r="A80" s="13"/>
      <c r="B80" s="13">
        <f t="shared" ca="1" si="16"/>
        <v>47422</v>
      </c>
      <c r="C80" s="274"/>
      <c r="D80" s="274"/>
      <c r="E80" s="274"/>
      <c r="F80" s="274"/>
      <c r="G80" s="274"/>
      <c r="H80" s="274"/>
      <c r="I80" s="274"/>
      <c r="J80" s="274"/>
      <c r="K80" s="274"/>
      <c r="L80" s="15">
        <f t="shared" si="17"/>
        <v>97750000</v>
      </c>
      <c r="M80" s="271">
        <f t="shared" si="14"/>
        <v>0.97750000000000004</v>
      </c>
      <c r="N80" s="271">
        <f t="shared" si="18"/>
        <v>0</v>
      </c>
      <c r="P80" s="273">
        <f t="shared" ref="P80:X80" si="67">(SUM(C$31:C80)/$L$10*100)</f>
        <v>25</v>
      </c>
      <c r="Q80" s="273">
        <f t="shared" si="67"/>
        <v>7.75</v>
      </c>
      <c r="R80" s="273">
        <f t="shared" si="67"/>
        <v>10</v>
      </c>
      <c r="S80" s="273">
        <f t="shared" si="67"/>
        <v>15</v>
      </c>
      <c r="T80" s="273">
        <f t="shared" si="67"/>
        <v>20</v>
      </c>
      <c r="U80" s="273">
        <f t="shared" si="67"/>
        <v>0</v>
      </c>
      <c r="V80" s="273">
        <f t="shared" si="67"/>
        <v>20</v>
      </c>
      <c r="W80" s="273">
        <f t="shared" si="67"/>
        <v>0</v>
      </c>
      <c r="X80" s="273">
        <f t="shared" si="67"/>
        <v>0</v>
      </c>
    </row>
    <row r="81" spans="1:24" ht="15.75" customHeight="1" x14ac:dyDescent="0.15">
      <c r="A81" s="13"/>
      <c r="B81" s="13">
        <f t="shared" ca="1" si="16"/>
        <v>47452</v>
      </c>
      <c r="C81" s="274"/>
      <c r="D81" s="274"/>
      <c r="E81" s="274"/>
      <c r="F81" s="274"/>
      <c r="G81" s="274"/>
      <c r="H81" s="274"/>
      <c r="I81" s="274"/>
      <c r="J81" s="274"/>
      <c r="K81" s="274"/>
      <c r="L81" s="15">
        <f t="shared" si="17"/>
        <v>97750000</v>
      </c>
      <c r="M81" s="271">
        <f t="shared" si="14"/>
        <v>0.97750000000000004</v>
      </c>
      <c r="N81" s="271">
        <f t="shared" si="18"/>
        <v>0</v>
      </c>
      <c r="P81" s="273">
        <f t="shared" ref="P81:X81" si="68">(SUM(C$31:C81)/$L$10*100)</f>
        <v>25</v>
      </c>
      <c r="Q81" s="273">
        <f t="shared" si="68"/>
        <v>7.75</v>
      </c>
      <c r="R81" s="273">
        <f t="shared" si="68"/>
        <v>10</v>
      </c>
      <c r="S81" s="273">
        <f t="shared" si="68"/>
        <v>15</v>
      </c>
      <c r="T81" s="273">
        <f t="shared" si="68"/>
        <v>20</v>
      </c>
      <c r="U81" s="273">
        <f t="shared" si="68"/>
        <v>0</v>
      </c>
      <c r="V81" s="273">
        <f t="shared" si="68"/>
        <v>20</v>
      </c>
      <c r="W81" s="273">
        <f t="shared" si="68"/>
        <v>0</v>
      </c>
      <c r="X81" s="273">
        <f t="shared" si="68"/>
        <v>0</v>
      </c>
    </row>
    <row r="82" spans="1:24" ht="15.75" customHeight="1" x14ac:dyDescent="0.15">
      <c r="A82" s="211" t="s">
        <v>246</v>
      </c>
      <c r="B82" s="13">
        <f t="shared" ca="1" si="16"/>
        <v>47483</v>
      </c>
      <c r="C82" s="274"/>
      <c r="D82" s="274"/>
      <c r="E82" s="274"/>
      <c r="F82" s="274"/>
      <c r="G82" s="274"/>
      <c r="H82" s="274"/>
      <c r="I82" s="274"/>
      <c r="J82" s="274"/>
      <c r="K82" s="274"/>
      <c r="L82" s="15">
        <f t="shared" si="17"/>
        <v>97750000</v>
      </c>
      <c r="M82" s="271">
        <f t="shared" si="14"/>
        <v>0.97750000000000004</v>
      </c>
      <c r="N82" s="271">
        <f t="shared" si="18"/>
        <v>0</v>
      </c>
      <c r="P82" s="273">
        <f t="shared" ref="P82:X82" si="69">(SUM(C$31:C82)/$L$10*100)</f>
        <v>25</v>
      </c>
      <c r="Q82" s="273">
        <f t="shared" si="69"/>
        <v>7.75</v>
      </c>
      <c r="R82" s="273">
        <f t="shared" si="69"/>
        <v>10</v>
      </c>
      <c r="S82" s="273">
        <f t="shared" si="69"/>
        <v>15</v>
      </c>
      <c r="T82" s="273">
        <f t="shared" si="69"/>
        <v>20</v>
      </c>
      <c r="U82" s="273">
        <f t="shared" si="69"/>
        <v>0</v>
      </c>
      <c r="V82" s="273">
        <f t="shared" si="69"/>
        <v>20</v>
      </c>
      <c r="W82" s="273">
        <f t="shared" si="69"/>
        <v>0</v>
      </c>
      <c r="X82" s="273">
        <f t="shared" si="69"/>
        <v>0</v>
      </c>
    </row>
    <row r="83" spans="1:24" ht="15.75" customHeight="1" x14ac:dyDescent="0.15">
      <c r="A83" s="13"/>
      <c r="B83" s="13">
        <f t="shared" ca="1" si="16"/>
        <v>47514</v>
      </c>
      <c r="C83" s="274"/>
      <c r="D83" s="274"/>
      <c r="E83" s="274"/>
      <c r="F83" s="274"/>
      <c r="G83" s="274"/>
      <c r="H83" s="274"/>
      <c r="I83" s="274"/>
      <c r="J83" s="274"/>
      <c r="K83" s="274"/>
      <c r="L83" s="15">
        <f t="shared" si="17"/>
        <v>97750000</v>
      </c>
      <c r="M83" s="271">
        <f t="shared" si="14"/>
        <v>0.97750000000000004</v>
      </c>
      <c r="N83" s="271">
        <f t="shared" si="18"/>
        <v>0</v>
      </c>
      <c r="P83" s="273">
        <f t="shared" ref="P83:X83" si="70">(SUM(C$31:C83)/$L$10*100)</f>
        <v>25</v>
      </c>
      <c r="Q83" s="273">
        <f t="shared" si="70"/>
        <v>7.75</v>
      </c>
      <c r="R83" s="273">
        <f t="shared" si="70"/>
        <v>10</v>
      </c>
      <c r="S83" s="273">
        <f t="shared" si="70"/>
        <v>15</v>
      </c>
      <c r="T83" s="273">
        <f t="shared" si="70"/>
        <v>20</v>
      </c>
      <c r="U83" s="273">
        <f t="shared" si="70"/>
        <v>0</v>
      </c>
      <c r="V83" s="273">
        <f t="shared" si="70"/>
        <v>20</v>
      </c>
      <c r="W83" s="273">
        <f t="shared" si="70"/>
        <v>0</v>
      </c>
      <c r="X83" s="273">
        <f t="shared" si="70"/>
        <v>0</v>
      </c>
    </row>
    <row r="84" spans="1:24" ht="15.75" customHeight="1" x14ac:dyDescent="0.15">
      <c r="A84" s="13"/>
      <c r="B84" s="13">
        <f t="shared" ca="1" si="16"/>
        <v>47542</v>
      </c>
      <c r="C84" s="274"/>
      <c r="D84" s="274"/>
      <c r="E84" s="274"/>
      <c r="F84" s="274"/>
      <c r="G84" s="274"/>
      <c r="H84" s="274"/>
      <c r="I84" s="274"/>
      <c r="J84" s="274"/>
      <c r="K84" s="274"/>
      <c r="L84" s="15">
        <f t="shared" si="17"/>
        <v>97750000</v>
      </c>
      <c r="M84" s="271">
        <f t="shared" si="14"/>
        <v>0.97750000000000004</v>
      </c>
      <c r="N84" s="271">
        <f t="shared" si="18"/>
        <v>0</v>
      </c>
      <c r="P84" s="273">
        <f t="shared" ref="P84:X84" si="71">(SUM(C$31:C84)/$L$10*100)</f>
        <v>25</v>
      </c>
      <c r="Q84" s="273">
        <f t="shared" si="71"/>
        <v>7.75</v>
      </c>
      <c r="R84" s="273">
        <f t="shared" si="71"/>
        <v>10</v>
      </c>
      <c r="S84" s="273">
        <f t="shared" si="71"/>
        <v>15</v>
      </c>
      <c r="T84" s="273">
        <f t="shared" si="71"/>
        <v>20</v>
      </c>
      <c r="U84" s="273">
        <f t="shared" si="71"/>
        <v>0</v>
      </c>
      <c r="V84" s="273">
        <f t="shared" si="71"/>
        <v>20</v>
      </c>
      <c r="W84" s="273">
        <f t="shared" si="71"/>
        <v>0</v>
      </c>
      <c r="X84" s="273">
        <f t="shared" si="71"/>
        <v>0</v>
      </c>
    </row>
    <row r="85" spans="1:24" ht="15.75" customHeight="1" x14ac:dyDescent="0.15">
      <c r="A85" s="211" t="s">
        <v>247</v>
      </c>
      <c r="B85" s="13">
        <f t="shared" ca="1" si="16"/>
        <v>47573</v>
      </c>
      <c r="C85" s="274"/>
      <c r="D85" s="274"/>
      <c r="E85" s="274"/>
      <c r="F85" s="274"/>
      <c r="G85" s="274"/>
      <c r="H85" s="274"/>
      <c r="I85" s="274"/>
      <c r="J85" s="274"/>
      <c r="K85" s="274"/>
      <c r="L85" s="15">
        <f t="shared" si="17"/>
        <v>97750000</v>
      </c>
      <c r="M85" s="271">
        <f t="shared" si="14"/>
        <v>0.97750000000000004</v>
      </c>
      <c r="N85" s="271">
        <f t="shared" si="18"/>
        <v>0</v>
      </c>
      <c r="P85" s="273">
        <f t="shared" ref="P85:X85" si="72">(SUM(C$31:C85)/$L$10*100)</f>
        <v>25</v>
      </c>
      <c r="Q85" s="273">
        <f t="shared" si="72"/>
        <v>7.75</v>
      </c>
      <c r="R85" s="273">
        <f t="shared" si="72"/>
        <v>10</v>
      </c>
      <c r="S85" s="273">
        <f t="shared" si="72"/>
        <v>15</v>
      </c>
      <c r="T85" s="273">
        <f t="shared" si="72"/>
        <v>20</v>
      </c>
      <c r="U85" s="273">
        <f t="shared" si="72"/>
        <v>0</v>
      </c>
      <c r="V85" s="273">
        <f t="shared" si="72"/>
        <v>20</v>
      </c>
      <c r="W85" s="273">
        <f t="shared" si="72"/>
        <v>0</v>
      </c>
      <c r="X85" s="273">
        <f t="shared" si="72"/>
        <v>0</v>
      </c>
    </row>
    <row r="86" spans="1:24" ht="15.75" customHeight="1" x14ac:dyDescent="0.15">
      <c r="A86" s="13"/>
      <c r="B86" s="13">
        <f t="shared" ca="1" si="16"/>
        <v>47603</v>
      </c>
      <c r="C86" s="274"/>
      <c r="D86" s="274"/>
      <c r="E86" s="274"/>
      <c r="F86" s="274"/>
      <c r="G86" s="274"/>
      <c r="H86" s="274"/>
      <c r="I86" s="274"/>
      <c r="J86" s="274"/>
      <c r="K86" s="274"/>
      <c r="L86" s="15">
        <f t="shared" si="17"/>
        <v>97750000</v>
      </c>
      <c r="M86" s="271">
        <f t="shared" si="14"/>
        <v>0.97750000000000004</v>
      </c>
      <c r="N86" s="271">
        <f t="shared" si="18"/>
        <v>0</v>
      </c>
      <c r="P86" s="273">
        <f t="shared" ref="P86:X86" si="73">(SUM(C$31:C86)/$L$10*100)</f>
        <v>25</v>
      </c>
      <c r="Q86" s="273">
        <f t="shared" si="73"/>
        <v>7.75</v>
      </c>
      <c r="R86" s="273">
        <f t="shared" si="73"/>
        <v>10</v>
      </c>
      <c r="S86" s="273">
        <f t="shared" si="73"/>
        <v>15</v>
      </c>
      <c r="T86" s="273">
        <f t="shared" si="73"/>
        <v>20</v>
      </c>
      <c r="U86" s="273">
        <f t="shared" si="73"/>
        <v>0</v>
      </c>
      <c r="V86" s="273">
        <f t="shared" si="73"/>
        <v>20</v>
      </c>
      <c r="W86" s="273">
        <f t="shared" si="73"/>
        <v>0</v>
      </c>
      <c r="X86" s="273">
        <f t="shared" si="73"/>
        <v>0</v>
      </c>
    </row>
    <row r="87" spans="1:24" ht="15.75" customHeight="1" x14ac:dyDescent="0.15">
      <c r="A87" s="13"/>
      <c r="B87" s="13">
        <f t="shared" ca="1" si="16"/>
        <v>47634</v>
      </c>
      <c r="C87" s="274"/>
      <c r="D87" s="274"/>
      <c r="E87" s="274"/>
      <c r="F87" s="274"/>
      <c r="G87" s="274"/>
      <c r="H87" s="274"/>
      <c r="I87" s="274"/>
      <c r="J87" s="274"/>
      <c r="K87" s="274"/>
      <c r="L87" s="15">
        <f t="shared" si="17"/>
        <v>97750000</v>
      </c>
      <c r="M87" s="271">
        <f t="shared" si="14"/>
        <v>0.97750000000000004</v>
      </c>
      <c r="N87" s="271">
        <f t="shared" si="18"/>
        <v>0</v>
      </c>
      <c r="P87" s="273">
        <f t="shared" ref="P87:X87" si="74">(SUM(C$31:C87)/$L$10*100)</f>
        <v>25</v>
      </c>
      <c r="Q87" s="273">
        <f t="shared" si="74"/>
        <v>7.75</v>
      </c>
      <c r="R87" s="273">
        <f t="shared" si="74"/>
        <v>10</v>
      </c>
      <c r="S87" s="273">
        <f t="shared" si="74"/>
        <v>15</v>
      </c>
      <c r="T87" s="273">
        <f t="shared" si="74"/>
        <v>20</v>
      </c>
      <c r="U87" s="273">
        <f t="shared" si="74"/>
        <v>0</v>
      </c>
      <c r="V87" s="273">
        <f t="shared" si="74"/>
        <v>20</v>
      </c>
      <c r="W87" s="273">
        <f t="shared" si="74"/>
        <v>0</v>
      </c>
      <c r="X87" s="273">
        <f t="shared" si="74"/>
        <v>0</v>
      </c>
    </row>
    <row r="88" spans="1:24" ht="15.75" customHeight="1" x14ac:dyDescent="0.15">
      <c r="A88" s="211" t="s">
        <v>248</v>
      </c>
      <c r="B88" s="13">
        <f t="shared" ca="1" si="16"/>
        <v>47664</v>
      </c>
      <c r="C88" s="274"/>
      <c r="D88" s="274"/>
      <c r="E88" s="274"/>
      <c r="F88" s="274"/>
      <c r="G88" s="274"/>
      <c r="H88" s="274"/>
      <c r="I88" s="274"/>
      <c r="J88" s="274"/>
      <c r="K88" s="274"/>
      <c r="L88" s="15">
        <f t="shared" si="17"/>
        <v>97750000</v>
      </c>
      <c r="M88" s="271">
        <f t="shared" si="14"/>
        <v>0.97750000000000004</v>
      </c>
      <c r="N88" s="271">
        <f t="shared" si="18"/>
        <v>0</v>
      </c>
      <c r="P88" s="273">
        <f t="shared" ref="P88:X88" si="75">(SUM(C$31:C88)/$L$10*100)</f>
        <v>25</v>
      </c>
      <c r="Q88" s="273">
        <f t="shared" si="75"/>
        <v>7.75</v>
      </c>
      <c r="R88" s="273">
        <f t="shared" si="75"/>
        <v>10</v>
      </c>
      <c r="S88" s="273">
        <f t="shared" si="75"/>
        <v>15</v>
      </c>
      <c r="T88" s="273">
        <f t="shared" si="75"/>
        <v>20</v>
      </c>
      <c r="U88" s="273">
        <f t="shared" si="75"/>
        <v>0</v>
      </c>
      <c r="V88" s="273">
        <f t="shared" si="75"/>
        <v>20</v>
      </c>
      <c r="W88" s="273">
        <f t="shared" si="75"/>
        <v>0</v>
      </c>
      <c r="X88" s="273">
        <f t="shared" si="75"/>
        <v>0</v>
      </c>
    </row>
    <row r="89" spans="1:24" ht="15.75" customHeight="1" x14ac:dyDescent="0.15">
      <c r="A89" s="13"/>
      <c r="B89" s="13">
        <f t="shared" ca="1" si="16"/>
        <v>47695</v>
      </c>
      <c r="C89" s="274"/>
      <c r="D89" s="274"/>
      <c r="E89" s="274"/>
      <c r="F89" s="274"/>
      <c r="G89" s="274"/>
      <c r="H89" s="274"/>
      <c r="I89" s="274"/>
      <c r="J89" s="274"/>
      <c r="K89" s="274"/>
      <c r="L89" s="15"/>
      <c r="M89" s="17"/>
      <c r="N89" s="17"/>
      <c r="P89" s="273"/>
      <c r="Q89" s="273"/>
      <c r="R89" s="273"/>
      <c r="S89" s="273"/>
      <c r="T89" s="273"/>
      <c r="U89" s="273"/>
      <c r="V89" s="273"/>
      <c r="W89" s="273"/>
      <c r="X89" s="273"/>
    </row>
    <row r="90" spans="1:24" ht="15.75" customHeight="1" x14ac:dyDescent="0.15">
      <c r="A90" s="13"/>
      <c r="B90" s="13">
        <f t="shared" ca="1" si="16"/>
        <v>47726</v>
      </c>
      <c r="C90" s="274"/>
      <c r="D90" s="274"/>
      <c r="E90" s="274"/>
      <c r="F90" s="274"/>
      <c r="G90" s="274"/>
      <c r="H90" s="274"/>
      <c r="I90" s="274"/>
      <c r="J90" s="274"/>
      <c r="K90" s="274"/>
      <c r="L90" s="15"/>
      <c r="M90" s="17"/>
      <c r="N90" s="17"/>
      <c r="P90" s="273"/>
      <c r="Q90" s="273"/>
      <c r="R90" s="273"/>
      <c r="S90" s="273"/>
      <c r="T90" s="273"/>
      <c r="U90" s="273"/>
      <c r="V90" s="273"/>
      <c r="W90" s="273"/>
      <c r="X90" s="273"/>
    </row>
    <row r="91" spans="1:24" ht="15.75" customHeight="1" x14ac:dyDescent="0.15">
      <c r="A91" s="211" t="s">
        <v>249</v>
      </c>
      <c r="B91" s="13">
        <f t="shared" ca="1" si="16"/>
        <v>47756</v>
      </c>
      <c r="C91" s="274"/>
      <c r="D91" s="274"/>
      <c r="E91" s="274"/>
      <c r="F91" s="274"/>
      <c r="G91" s="274"/>
      <c r="H91" s="274"/>
      <c r="I91" s="274"/>
      <c r="J91" s="274"/>
      <c r="K91" s="274"/>
      <c r="L91" s="15"/>
      <c r="M91" s="17"/>
      <c r="N91" s="17"/>
      <c r="P91" s="273"/>
      <c r="Q91" s="273"/>
      <c r="R91" s="273"/>
      <c r="S91" s="273"/>
      <c r="T91" s="273"/>
      <c r="U91" s="273"/>
      <c r="V91" s="273"/>
      <c r="W91" s="273"/>
      <c r="X91" s="273"/>
    </row>
    <row r="92" spans="1:24" ht="15.75" customHeight="1" x14ac:dyDescent="0.15">
      <c r="B92" s="275" t="s">
        <v>14</v>
      </c>
      <c r="C92" s="276">
        <f t="shared" ref="C92:K92" si="76">SUM(C31:C90)</f>
        <v>25000000</v>
      </c>
      <c r="D92" s="276">
        <f t="shared" si="76"/>
        <v>7750000</v>
      </c>
      <c r="E92" s="276">
        <f t="shared" si="76"/>
        <v>10000000</v>
      </c>
      <c r="F92" s="276">
        <f t="shared" si="76"/>
        <v>15000000</v>
      </c>
      <c r="G92" s="276">
        <f t="shared" si="76"/>
        <v>20000000</v>
      </c>
      <c r="H92" s="276">
        <f t="shared" si="76"/>
        <v>0</v>
      </c>
      <c r="I92" s="276">
        <f t="shared" si="76"/>
        <v>20000000</v>
      </c>
      <c r="J92" s="276">
        <f t="shared" si="76"/>
        <v>0</v>
      </c>
      <c r="K92" s="276">
        <f t="shared" si="76"/>
        <v>0</v>
      </c>
      <c r="L92" s="277">
        <f>SUM(C92:K92)</f>
        <v>97750000</v>
      </c>
      <c r="M92" s="278" t="b">
        <f>L92=$C$2</f>
        <v>0</v>
      </c>
      <c r="N92" s="5"/>
      <c r="P92" s="273"/>
      <c r="Q92" s="273"/>
      <c r="R92" s="273"/>
      <c r="S92" s="273"/>
      <c r="T92" s="273"/>
      <c r="U92" s="273"/>
      <c r="V92" s="273"/>
      <c r="W92" s="273"/>
      <c r="X92" s="273"/>
    </row>
    <row r="93" spans="1:24" ht="15.75" customHeight="1" x14ac:dyDescent="0.15">
      <c r="A93" s="5"/>
      <c r="B93" s="5"/>
      <c r="C93" s="279">
        <f t="shared" ref="C93:L93" si="77">IFERROR(C92/$C$2,"")</f>
        <v>0.25</v>
      </c>
      <c r="D93" s="279">
        <f t="shared" si="77"/>
        <v>7.7499999999999999E-2</v>
      </c>
      <c r="E93" s="279">
        <f t="shared" si="77"/>
        <v>0.1</v>
      </c>
      <c r="F93" s="279">
        <f t="shared" si="77"/>
        <v>0.15</v>
      </c>
      <c r="G93" s="279">
        <f t="shared" si="77"/>
        <v>0.2</v>
      </c>
      <c r="H93" s="279">
        <f t="shared" si="77"/>
        <v>0</v>
      </c>
      <c r="I93" s="279">
        <f t="shared" si="77"/>
        <v>0.2</v>
      </c>
      <c r="J93" s="279">
        <f t="shared" si="77"/>
        <v>0</v>
      </c>
      <c r="K93" s="279">
        <f t="shared" si="77"/>
        <v>0</v>
      </c>
      <c r="L93" s="271">
        <f t="shared" si="77"/>
        <v>0.97750000000000004</v>
      </c>
      <c r="M93" s="5"/>
      <c r="N93" s="5"/>
      <c r="P93" s="273"/>
      <c r="Q93" s="273"/>
      <c r="R93" s="273"/>
      <c r="S93" s="273"/>
      <c r="T93" s="273"/>
      <c r="U93" s="273"/>
      <c r="V93" s="273"/>
      <c r="W93" s="273"/>
      <c r="X93" s="273"/>
    </row>
    <row r="94" spans="1:24" ht="15.75" customHeight="1" x14ac:dyDescent="0.15">
      <c r="A94" s="5"/>
      <c r="B94" s="5"/>
      <c r="C94" s="280">
        <f t="shared" ref="C94:K94" si="78">C11-C93</f>
        <v>0</v>
      </c>
      <c r="D94" s="280">
        <f t="shared" si="78"/>
        <v>2.2500000000000006E-2</v>
      </c>
      <c r="E94" s="280">
        <f t="shared" si="78"/>
        <v>0</v>
      </c>
      <c r="F94" s="280">
        <f t="shared" si="78"/>
        <v>0</v>
      </c>
      <c r="G94" s="280">
        <f t="shared" si="78"/>
        <v>0</v>
      </c>
      <c r="H94" s="280">
        <f t="shared" si="78"/>
        <v>0</v>
      </c>
      <c r="I94" s="280">
        <f t="shared" si="78"/>
        <v>0</v>
      </c>
      <c r="J94" s="280">
        <f t="shared" si="78"/>
        <v>0</v>
      </c>
      <c r="K94" s="280">
        <f t="shared" si="78"/>
        <v>0</v>
      </c>
      <c r="L94" s="281"/>
      <c r="M94" s="5"/>
      <c r="N94" s="5"/>
      <c r="P94" s="273"/>
      <c r="Q94" s="273"/>
      <c r="R94" s="273"/>
      <c r="S94" s="273"/>
      <c r="T94" s="273"/>
      <c r="U94" s="273"/>
      <c r="V94" s="273"/>
      <c r="W94" s="273"/>
      <c r="X94" s="273"/>
    </row>
    <row r="95" spans="1:24" ht="15.75" customHeight="1" x14ac:dyDescent="0.15">
      <c r="A95" s="281"/>
      <c r="B95" s="281"/>
      <c r="C95" s="282" t="b">
        <f t="shared" ref="C95:K95" si="79">C92=C10</f>
        <v>1</v>
      </c>
      <c r="D95" s="282" t="b">
        <f t="shared" si="79"/>
        <v>0</v>
      </c>
      <c r="E95" s="282" t="b">
        <f t="shared" si="79"/>
        <v>1</v>
      </c>
      <c r="F95" s="282" t="b">
        <f t="shared" si="79"/>
        <v>1</v>
      </c>
      <c r="G95" s="282" t="b">
        <f t="shared" si="79"/>
        <v>1</v>
      </c>
      <c r="H95" s="282" t="b">
        <f t="shared" si="79"/>
        <v>1</v>
      </c>
      <c r="I95" s="282" t="b">
        <f t="shared" si="79"/>
        <v>1</v>
      </c>
      <c r="J95" s="282" t="b">
        <f t="shared" si="79"/>
        <v>1</v>
      </c>
      <c r="K95" s="282" t="b">
        <f t="shared" si="79"/>
        <v>1</v>
      </c>
      <c r="L95" s="281"/>
      <c r="M95" s="5"/>
      <c r="N95" s="5"/>
      <c r="P95" s="273"/>
      <c r="Q95" s="273"/>
      <c r="R95" s="273"/>
      <c r="S95" s="273"/>
      <c r="T95" s="273"/>
      <c r="U95" s="273"/>
      <c r="V95" s="273"/>
      <c r="W95" s="273"/>
      <c r="X95" s="273"/>
    </row>
    <row r="96" spans="1:24" ht="15.75" customHeight="1" x14ac:dyDescent="0.15">
      <c r="A96" s="281"/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5"/>
      <c r="N96" s="5"/>
      <c r="P96" s="273"/>
      <c r="Q96" s="273"/>
      <c r="R96" s="273"/>
      <c r="S96" s="273"/>
      <c r="T96" s="273"/>
      <c r="U96" s="273"/>
      <c r="V96" s="273"/>
      <c r="W96" s="273"/>
      <c r="X96" s="273"/>
    </row>
    <row r="97" spans="1:24" ht="15.75" customHeight="1" x14ac:dyDescent="0.15">
      <c r="A97" s="281"/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5"/>
      <c r="N97" s="5"/>
      <c r="P97" s="273"/>
      <c r="Q97" s="273"/>
      <c r="R97" s="273"/>
      <c r="S97" s="273"/>
      <c r="T97" s="273"/>
      <c r="U97" s="273"/>
      <c r="V97" s="273"/>
      <c r="W97" s="273"/>
      <c r="X97" s="273"/>
    </row>
    <row r="98" spans="1:24" ht="15.75" customHeight="1" x14ac:dyDescent="0.15">
      <c r="A98" s="281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5"/>
      <c r="N98" s="5"/>
      <c r="P98" s="273"/>
      <c r="Q98" s="273"/>
      <c r="R98" s="273"/>
      <c r="S98" s="273"/>
      <c r="T98" s="273"/>
      <c r="U98" s="273"/>
      <c r="V98" s="273"/>
      <c r="W98" s="273"/>
      <c r="X98" s="273"/>
    </row>
    <row r="99" spans="1:24" ht="15.75" customHeight="1" x14ac:dyDescent="0.15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5"/>
      <c r="N99" s="5"/>
      <c r="P99" s="273"/>
      <c r="Q99" s="273"/>
      <c r="R99" s="273"/>
      <c r="S99" s="273"/>
      <c r="T99" s="273"/>
      <c r="U99" s="273"/>
      <c r="V99" s="273"/>
      <c r="W99" s="273"/>
      <c r="X99" s="273"/>
    </row>
    <row r="100" spans="1:24" ht="15.75" customHeight="1" x14ac:dyDescent="0.15">
      <c r="A100" s="281"/>
      <c r="B100" s="281"/>
      <c r="C100" s="281"/>
      <c r="D100" s="281"/>
      <c r="E100" s="281"/>
      <c r="F100" s="281"/>
      <c r="G100" s="281"/>
      <c r="H100" s="281"/>
      <c r="I100" s="281"/>
      <c r="J100" s="281"/>
      <c r="K100" s="281"/>
      <c r="L100" s="281"/>
      <c r="M100" s="5"/>
      <c r="N100" s="5"/>
      <c r="P100" s="273"/>
      <c r="Q100" s="273"/>
      <c r="R100" s="273"/>
      <c r="S100" s="273"/>
      <c r="T100" s="273"/>
      <c r="U100" s="273"/>
      <c r="V100" s="273"/>
      <c r="W100" s="273"/>
      <c r="X100" s="273"/>
    </row>
    <row r="101" spans="1:24" ht="15.75" customHeight="1" x14ac:dyDescent="0.15">
      <c r="A101" s="281"/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5"/>
      <c r="N101" s="5"/>
      <c r="P101" s="273"/>
      <c r="Q101" s="273"/>
      <c r="R101" s="273"/>
      <c r="S101" s="273"/>
      <c r="T101" s="273"/>
      <c r="U101" s="273"/>
      <c r="V101" s="273"/>
      <c r="W101" s="273"/>
      <c r="X101" s="273"/>
    </row>
    <row r="102" spans="1:24" ht="15.75" customHeight="1" x14ac:dyDescent="0.15">
      <c r="A102" s="281"/>
      <c r="B102" s="281"/>
      <c r="C102" s="281"/>
      <c r="D102" s="281"/>
      <c r="E102" s="281"/>
      <c r="F102" s="281"/>
      <c r="G102" s="281"/>
      <c r="H102" s="281"/>
      <c r="I102" s="281"/>
      <c r="J102" s="281"/>
      <c r="K102" s="281"/>
      <c r="L102" s="281"/>
      <c r="M102" s="5"/>
      <c r="N102" s="5"/>
      <c r="P102" s="273"/>
      <c r="Q102" s="273"/>
      <c r="R102" s="273"/>
      <c r="S102" s="273"/>
      <c r="T102" s="273"/>
      <c r="U102" s="273"/>
      <c r="V102" s="273"/>
      <c r="W102" s="273"/>
      <c r="X102" s="273"/>
    </row>
    <row r="103" spans="1:24" ht="15.75" customHeight="1" x14ac:dyDescent="0.15">
      <c r="A103" s="281"/>
      <c r="B103" s="281"/>
      <c r="C103" s="281"/>
      <c r="D103" s="281"/>
      <c r="E103" s="281"/>
      <c r="F103" s="281"/>
      <c r="G103" s="281"/>
      <c r="H103" s="281"/>
      <c r="I103" s="281"/>
      <c r="J103" s="281"/>
      <c r="K103" s="281"/>
      <c r="L103" s="281"/>
      <c r="M103" s="5"/>
      <c r="N103" s="5"/>
      <c r="P103" s="273"/>
      <c r="Q103" s="273"/>
      <c r="R103" s="273"/>
      <c r="S103" s="273"/>
      <c r="T103" s="273"/>
      <c r="U103" s="273"/>
      <c r="V103" s="273"/>
      <c r="W103" s="273"/>
      <c r="X103" s="273"/>
    </row>
    <row r="104" spans="1:24" ht="15.75" customHeight="1" x14ac:dyDescent="0.15">
      <c r="A104" s="281"/>
      <c r="B104" s="281"/>
      <c r="C104" s="281"/>
      <c r="D104" s="281"/>
      <c r="E104" s="281"/>
      <c r="F104" s="281"/>
      <c r="G104" s="281"/>
      <c r="H104" s="281"/>
      <c r="I104" s="281"/>
      <c r="J104" s="281"/>
      <c r="K104" s="281"/>
      <c r="L104" s="281"/>
      <c r="M104" s="5"/>
      <c r="N104" s="5"/>
      <c r="P104" s="273"/>
      <c r="Q104" s="273"/>
      <c r="R104" s="273"/>
      <c r="S104" s="273"/>
      <c r="T104" s="273"/>
      <c r="U104" s="273"/>
      <c r="V104" s="273"/>
      <c r="W104" s="273"/>
      <c r="X104" s="273"/>
    </row>
    <row r="105" spans="1:24" ht="15.75" customHeight="1" x14ac:dyDescent="0.15">
      <c r="A105" s="281"/>
      <c r="B105" s="281"/>
      <c r="C105" s="281"/>
      <c r="D105" s="281"/>
      <c r="E105" s="281"/>
      <c r="F105" s="281"/>
      <c r="G105" s="281"/>
      <c r="H105" s="281"/>
      <c r="I105" s="281"/>
      <c r="J105" s="281"/>
      <c r="K105" s="281"/>
      <c r="L105" s="281"/>
      <c r="M105" s="5"/>
      <c r="N105" s="5"/>
    </row>
    <row r="106" spans="1:24" ht="15.75" customHeight="1" x14ac:dyDescent="0.15">
      <c r="A106" s="281"/>
      <c r="B106" s="281"/>
      <c r="C106" s="281"/>
      <c r="D106" s="281"/>
      <c r="E106" s="281"/>
      <c r="F106" s="281"/>
      <c r="G106" s="281"/>
      <c r="H106" s="281"/>
      <c r="I106" s="281"/>
      <c r="J106" s="281"/>
      <c r="K106" s="281"/>
      <c r="L106" s="281"/>
      <c r="M106" s="5"/>
      <c r="N106" s="5"/>
    </row>
    <row r="107" spans="1:24" ht="15.75" customHeight="1" x14ac:dyDescent="0.15">
      <c r="A107" s="281"/>
      <c r="B107" s="281"/>
      <c r="C107" s="281"/>
      <c r="D107" s="281"/>
      <c r="E107" s="281"/>
      <c r="F107" s="281"/>
      <c r="G107" s="281"/>
      <c r="H107" s="281"/>
      <c r="I107" s="281"/>
      <c r="J107" s="281"/>
      <c r="K107" s="281"/>
      <c r="L107" s="281"/>
      <c r="M107" s="5"/>
      <c r="N107" s="5"/>
    </row>
    <row r="108" spans="1:24" ht="15.75" customHeight="1" x14ac:dyDescent="0.15">
      <c r="A108" s="281"/>
      <c r="B108" s="281"/>
      <c r="C108" s="281"/>
      <c r="D108" s="281"/>
      <c r="E108" s="281"/>
      <c r="F108" s="281"/>
      <c r="G108" s="281"/>
      <c r="H108" s="281"/>
      <c r="I108" s="281"/>
      <c r="J108" s="281"/>
      <c r="K108" s="281"/>
      <c r="L108" s="281"/>
      <c r="M108" s="5"/>
      <c r="N108" s="5"/>
    </row>
    <row r="109" spans="1:24" ht="15.75" customHeight="1" x14ac:dyDescent="0.15">
      <c r="A109" s="281"/>
      <c r="B109" s="281"/>
      <c r="C109" s="281"/>
      <c r="D109" s="281"/>
      <c r="E109" s="281"/>
      <c r="F109" s="281"/>
      <c r="G109" s="281"/>
      <c r="H109" s="281"/>
      <c r="I109" s="281"/>
      <c r="J109" s="281"/>
      <c r="K109" s="281"/>
      <c r="L109" s="281"/>
      <c r="M109" s="5"/>
      <c r="N109" s="5"/>
    </row>
    <row r="110" spans="1:24" ht="15.75" customHeight="1" x14ac:dyDescent="0.15">
      <c r="A110" s="281"/>
      <c r="B110" s="281"/>
      <c r="C110" s="281"/>
      <c r="D110" s="281"/>
      <c r="E110" s="281"/>
      <c r="F110" s="281"/>
      <c r="G110" s="281"/>
      <c r="H110" s="281"/>
      <c r="I110" s="281"/>
      <c r="J110" s="281"/>
      <c r="K110" s="281"/>
      <c r="L110" s="281"/>
      <c r="M110" s="5"/>
      <c r="N110" s="5"/>
    </row>
    <row r="111" spans="1:24" ht="15.75" customHeight="1" x14ac:dyDescent="0.15">
      <c r="A111" s="5"/>
      <c r="B111" s="5"/>
      <c r="C111" s="5"/>
      <c r="D111" s="5"/>
      <c r="E111" s="15"/>
      <c r="F111" s="214"/>
      <c r="G111" s="15"/>
      <c r="H111" s="15"/>
      <c r="I111" s="214"/>
      <c r="J111" s="5"/>
      <c r="K111" s="5"/>
      <c r="L111" s="5"/>
      <c r="M111" s="5"/>
      <c r="N111" s="5"/>
    </row>
    <row r="112" spans="1:24" ht="15.75" customHeight="1" x14ac:dyDescent="0.15">
      <c r="A112" s="5"/>
      <c r="B112" s="5"/>
      <c r="C112" s="5"/>
      <c r="D112" s="5"/>
      <c r="E112" s="214"/>
      <c r="F112" s="5"/>
      <c r="G112" s="15"/>
      <c r="H112" s="214"/>
      <c r="I112" s="5"/>
      <c r="J112" s="5"/>
      <c r="K112" s="5"/>
      <c r="L112" s="5"/>
      <c r="M112" s="5"/>
      <c r="N112" s="5"/>
    </row>
    <row r="113" spans="1:14" ht="15.75" customHeight="1" x14ac:dyDescent="0.15">
      <c r="A113" s="5"/>
      <c r="B113" s="5"/>
      <c r="C113" s="5"/>
      <c r="D113" s="5"/>
      <c r="E113" s="214"/>
      <c r="F113" s="5"/>
      <c r="G113" s="214"/>
      <c r="H113" s="15"/>
      <c r="I113" s="5"/>
      <c r="J113" s="5"/>
      <c r="K113" s="5"/>
      <c r="L113" s="5"/>
      <c r="M113" s="5"/>
      <c r="N113" s="5"/>
    </row>
    <row r="114" spans="1:14" ht="15.75" customHeight="1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5.75" customHeight="1" x14ac:dyDescent="0.15">
      <c r="A115" s="5"/>
      <c r="B115" s="5"/>
      <c r="C115" s="5"/>
      <c r="D115" s="5"/>
      <c r="E115" s="5"/>
      <c r="F115" s="5"/>
      <c r="G115" s="214"/>
      <c r="H115" s="5"/>
      <c r="I115" s="5"/>
      <c r="J115" s="5"/>
      <c r="K115" s="5"/>
      <c r="L115" s="5"/>
      <c r="M115" s="5"/>
      <c r="N115" s="5"/>
    </row>
    <row r="116" spans="1:14" ht="15.75" customHeight="1" x14ac:dyDescent="0.15">
      <c r="A116" s="5"/>
      <c r="B116" s="5"/>
      <c r="C116" s="5"/>
      <c r="D116" s="5"/>
      <c r="E116" s="5"/>
      <c r="F116" s="5"/>
      <c r="G116" s="15"/>
      <c r="H116" s="5"/>
      <c r="I116" s="5"/>
      <c r="J116" s="5"/>
      <c r="K116" s="5"/>
      <c r="L116" s="5"/>
      <c r="M116" s="5"/>
      <c r="N116" s="5"/>
    </row>
    <row r="117" spans="1:14" ht="15.75" customHeight="1" x14ac:dyDescent="0.15">
      <c r="A117" s="5"/>
      <c r="B117" s="5"/>
      <c r="C117" s="5"/>
      <c r="D117" s="5"/>
      <c r="E117" s="5"/>
      <c r="F117" s="5"/>
      <c r="G117" s="214"/>
      <c r="H117" s="5"/>
      <c r="I117" s="5"/>
      <c r="J117" s="5"/>
      <c r="K117" s="5"/>
      <c r="L117" s="5"/>
      <c r="M117" s="5"/>
      <c r="N117" s="5"/>
    </row>
    <row r="118" spans="1:14" ht="15.75" customHeight="1" x14ac:dyDescent="0.15"/>
    <row r="119" spans="1:14" ht="15.75" customHeight="1" x14ac:dyDescent="0.15"/>
    <row r="120" spans="1:14" ht="15.75" customHeight="1" x14ac:dyDescent="0.15"/>
    <row r="121" spans="1:14" ht="15.75" customHeight="1" x14ac:dyDescent="0.15"/>
    <row r="122" spans="1:14" ht="15.75" customHeight="1" x14ac:dyDescent="0.15"/>
    <row r="123" spans="1:14" ht="15.75" customHeight="1" x14ac:dyDescent="0.15"/>
    <row r="124" spans="1:14" ht="15.75" customHeight="1" x14ac:dyDescent="0.15"/>
    <row r="125" spans="1:14" ht="15.75" customHeight="1" x14ac:dyDescent="0.15"/>
    <row r="126" spans="1:14" ht="15.75" customHeight="1" x14ac:dyDescent="0.15"/>
    <row r="127" spans="1:14" ht="15.75" customHeight="1" x14ac:dyDescent="0.15"/>
    <row r="128" spans="1:14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46" type="noConversion"/>
  <dataValidations count="1">
    <dataValidation type="list" allowBlank="1" sqref="D19:K19" xr:uid="{00000000-0002-0000-0600-000000000000}">
      <formula1>$A$26:$A$27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X1000"/>
  <sheetViews>
    <sheetView workbookViewId="0"/>
  </sheetViews>
  <sheetFormatPr baseColWidth="10" defaultColWidth="12.6640625" defaultRowHeight="15" customHeight="1" x14ac:dyDescent="0.15"/>
  <cols>
    <col min="1" max="1" width="10.6640625" customWidth="1"/>
    <col min="2" max="2" width="24.6640625" customWidth="1"/>
    <col min="3" max="11" width="18.33203125" customWidth="1"/>
    <col min="12" max="12" width="15.33203125" customWidth="1"/>
    <col min="13" max="13" width="17.1640625" customWidth="1"/>
    <col min="14" max="14" width="17.83203125" customWidth="1"/>
  </cols>
  <sheetData>
    <row r="1" spans="1:24" ht="15.75" customHeight="1" x14ac:dyDescent="0.15">
      <c r="A1" s="200"/>
      <c r="B1" s="201" t="s">
        <v>0</v>
      </c>
      <c r="C1" s="202" t="s">
        <v>1</v>
      </c>
      <c r="D1" s="203" t="s">
        <v>2</v>
      </c>
      <c r="E1" s="204" t="s">
        <v>250</v>
      </c>
      <c r="F1" s="4"/>
      <c r="G1" s="4"/>
      <c r="H1" s="4"/>
      <c r="I1" s="4"/>
      <c r="J1" s="4"/>
      <c r="K1" s="4"/>
      <c r="L1" s="4"/>
      <c r="M1" s="4"/>
      <c r="N1" s="5"/>
    </row>
    <row r="2" spans="1:24" ht="15.75" customHeight="1" x14ac:dyDescent="0.15">
      <c r="A2" s="205"/>
      <c r="B2" s="206" t="s">
        <v>3</v>
      </c>
      <c r="C2" s="207">
        <v>100000000</v>
      </c>
      <c r="D2" s="208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24" ht="15.75" customHeight="1" x14ac:dyDescent="0.15">
      <c r="A3" s="200"/>
      <c r="B3" s="209" t="s">
        <v>4</v>
      </c>
      <c r="C3" s="210">
        <f ca="1">TODAY()</f>
        <v>45876</v>
      </c>
      <c r="D3" s="208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4" ht="15.75" customHeight="1" x14ac:dyDescent="0.15">
      <c r="A4" s="211"/>
      <c r="B4" s="209" t="s">
        <v>204</v>
      </c>
      <c r="C4" s="210">
        <f ca="1">B29</f>
        <v>45930</v>
      </c>
      <c r="D4" s="212"/>
      <c r="E4" s="213"/>
      <c r="F4" s="213"/>
      <c r="G4" s="213"/>
      <c r="H4" s="213"/>
      <c r="I4" s="213"/>
      <c r="J4" s="213"/>
      <c r="K4" s="213"/>
      <c r="L4" s="4"/>
      <c r="M4" s="4"/>
      <c r="N4" s="4"/>
    </row>
    <row r="5" spans="1:24" ht="15.75" customHeight="1" x14ac:dyDescent="0.15">
      <c r="A5" s="214"/>
      <c r="B5" s="215" t="s">
        <v>205</v>
      </c>
      <c r="C5" s="216">
        <f>$L$29*$C$11</f>
        <v>13500000</v>
      </c>
      <c r="D5" s="217"/>
      <c r="E5" s="213"/>
      <c r="F5" s="213"/>
      <c r="G5" s="213"/>
      <c r="H5" s="213"/>
      <c r="I5" s="213"/>
      <c r="J5" s="213"/>
      <c r="K5" s="213"/>
      <c r="L5" s="4"/>
      <c r="M5" s="4"/>
      <c r="N5" s="4"/>
    </row>
    <row r="6" spans="1:24" ht="15.75" customHeight="1" x14ac:dyDescent="0.15">
      <c r="A6" s="214"/>
      <c r="B6" s="214"/>
      <c r="D6" s="213"/>
      <c r="E6" s="213"/>
      <c r="F6" s="213"/>
      <c r="G6" s="213"/>
      <c r="H6" s="213"/>
      <c r="I6" s="213"/>
      <c r="J6" s="213"/>
      <c r="K6" s="213"/>
      <c r="L6" s="4"/>
      <c r="M6" s="4"/>
      <c r="N6" s="4"/>
    </row>
    <row r="7" spans="1:24" ht="15.75" customHeight="1" x14ac:dyDescent="0.15">
      <c r="A7" s="218"/>
      <c r="B7" s="219" t="s">
        <v>251</v>
      </c>
      <c r="C7" s="223" t="s">
        <v>6</v>
      </c>
      <c r="D7" s="223" t="s">
        <v>207</v>
      </c>
      <c r="E7" s="223" t="s">
        <v>208</v>
      </c>
      <c r="F7" s="223" t="s">
        <v>8</v>
      </c>
      <c r="G7" s="223" t="s">
        <v>209</v>
      </c>
      <c r="H7" s="223" t="s">
        <v>210</v>
      </c>
      <c r="I7" s="223" t="s">
        <v>211</v>
      </c>
      <c r="J7" s="223" t="s">
        <v>10</v>
      </c>
      <c r="K7" s="223" t="s">
        <v>10</v>
      </c>
      <c r="L7" s="222" t="s">
        <v>14</v>
      </c>
      <c r="M7" s="4"/>
      <c r="N7" s="4"/>
      <c r="P7" s="223" t="s">
        <v>6</v>
      </c>
      <c r="Q7" s="223" t="s">
        <v>7</v>
      </c>
      <c r="R7" s="223" t="s">
        <v>8</v>
      </c>
      <c r="S7" s="223" t="s">
        <v>9</v>
      </c>
      <c r="T7" s="223" t="s">
        <v>212</v>
      </c>
      <c r="U7" s="223" t="s">
        <v>208</v>
      </c>
      <c r="V7" s="223" t="s">
        <v>211</v>
      </c>
      <c r="W7" s="223" t="s">
        <v>10</v>
      </c>
      <c r="X7" s="223" t="s">
        <v>10</v>
      </c>
    </row>
    <row r="8" spans="1:24" ht="15.75" customHeight="1" x14ac:dyDescent="0.15">
      <c r="A8" s="200"/>
      <c r="B8" s="201" t="s">
        <v>213</v>
      </c>
      <c r="C8" s="283">
        <v>43466</v>
      </c>
      <c r="D8" s="283">
        <v>43466</v>
      </c>
      <c r="E8" s="283">
        <v>43466</v>
      </c>
      <c r="F8" s="284" t="s">
        <v>214</v>
      </c>
      <c r="G8" s="284" t="s">
        <v>214</v>
      </c>
      <c r="H8" s="284" t="s">
        <v>214</v>
      </c>
      <c r="I8" s="284" t="s">
        <v>214</v>
      </c>
      <c r="J8" s="283">
        <v>43466</v>
      </c>
      <c r="K8" s="283">
        <v>43466</v>
      </c>
      <c r="L8" s="227"/>
      <c r="M8" s="4"/>
      <c r="N8" s="4"/>
    </row>
    <row r="9" spans="1:24" ht="15.75" customHeight="1" x14ac:dyDescent="0.15">
      <c r="A9" s="200"/>
      <c r="B9" s="209" t="s">
        <v>50</v>
      </c>
      <c r="C9" s="228">
        <f>$C$2-SUM(D9:K9)</f>
        <v>25000000</v>
      </c>
      <c r="D9" s="229">
        <v>10000000</v>
      </c>
      <c r="E9" s="229">
        <v>10000000</v>
      </c>
      <c r="F9" s="229">
        <v>15000000</v>
      </c>
      <c r="G9" s="229">
        <v>20000000</v>
      </c>
      <c r="H9" s="229">
        <v>0</v>
      </c>
      <c r="I9" s="229">
        <v>20000000</v>
      </c>
      <c r="J9" s="229">
        <v>0</v>
      </c>
      <c r="K9" s="229">
        <v>0</v>
      </c>
      <c r="L9" s="230">
        <f t="shared" ref="L9:L10" si="0">SUM(C9:K9)</f>
        <v>100000000</v>
      </c>
      <c r="M9" s="231" t="b">
        <f>L9=C2</f>
        <v>1</v>
      </c>
      <c r="N9" s="4"/>
    </row>
    <row r="10" spans="1:24" ht="15.75" customHeight="1" x14ac:dyDescent="0.15">
      <c r="A10" s="200"/>
      <c r="B10" s="209" t="s">
        <v>215</v>
      </c>
      <c r="C10" s="232">
        <f t="shared" ref="C10:K10" si="1">IFERROR(C9/$L$9,"")</f>
        <v>0.25</v>
      </c>
      <c r="D10" s="232">
        <f t="shared" si="1"/>
        <v>0.1</v>
      </c>
      <c r="E10" s="232">
        <f t="shared" si="1"/>
        <v>0.1</v>
      </c>
      <c r="F10" s="232">
        <f t="shared" si="1"/>
        <v>0.15</v>
      </c>
      <c r="G10" s="232">
        <f t="shared" si="1"/>
        <v>0.2</v>
      </c>
      <c r="H10" s="232">
        <f t="shared" si="1"/>
        <v>0</v>
      </c>
      <c r="I10" s="232">
        <f t="shared" si="1"/>
        <v>0.2</v>
      </c>
      <c r="J10" s="232">
        <f t="shared" si="1"/>
        <v>0</v>
      </c>
      <c r="K10" s="232">
        <f t="shared" si="1"/>
        <v>0</v>
      </c>
      <c r="L10" s="233">
        <f t="shared" si="0"/>
        <v>1</v>
      </c>
      <c r="M10" s="4"/>
      <c r="N10" s="4"/>
    </row>
    <row r="11" spans="1:24" ht="15.75" customHeight="1" x14ac:dyDescent="0.15">
      <c r="A11" s="200"/>
      <c r="B11" s="209" t="s">
        <v>54</v>
      </c>
      <c r="C11" s="234">
        <v>0.5</v>
      </c>
      <c r="D11" s="234">
        <v>0.2</v>
      </c>
      <c r="E11" s="234">
        <v>0.1</v>
      </c>
      <c r="F11" s="285" t="s">
        <v>214</v>
      </c>
      <c r="G11" s="285" t="s">
        <v>214</v>
      </c>
      <c r="H11" s="285" t="s">
        <v>214</v>
      </c>
      <c r="I11" s="285" t="s">
        <v>214</v>
      </c>
      <c r="J11" s="236"/>
      <c r="K11" s="236"/>
      <c r="L11" s="237" t="s">
        <v>216</v>
      </c>
      <c r="M11" s="4"/>
      <c r="N11" s="4"/>
    </row>
    <row r="12" spans="1:24" ht="15.75" customHeight="1" x14ac:dyDescent="0.15">
      <c r="A12" s="200"/>
      <c r="B12" s="209" t="s">
        <v>55</v>
      </c>
      <c r="C12" s="238">
        <f t="shared" ref="C12:K12" si="2">IFERROR(C11*C9,"-")</f>
        <v>12500000</v>
      </c>
      <c r="D12" s="238">
        <f t="shared" si="2"/>
        <v>2000000</v>
      </c>
      <c r="E12" s="238">
        <f t="shared" si="2"/>
        <v>1000000</v>
      </c>
      <c r="F12" s="238" t="str">
        <f t="shared" si="2"/>
        <v>-</v>
      </c>
      <c r="G12" s="238" t="str">
        <f t="shared" si="2"/>
        <v>-</v>
      </c>
      <c r="H12" s="238" t="str">
        <f t="shared" si="2"/>
        <v>-</v>
      </c>
      <c r="I12" s="238" t="str">
        <f t="shared" si="2"/>
        <v>-</v>
      </c>
      <c r="J12" s="238">
        <f t="shared" si="2"/>
        <v>0</v>
      </c>
      <c r="K12" s="238">
        <f t="shared" si="2"/>
        <v>0</v>
      </c>
      <c r="L12" s="239">
        <f>SUM(C12:K12)</f>
        <v>15500000</v>
      </c>
      <c r="M12" s="4"/>
      <c r="N12" s="4"/>
    </row>
    <row r="13" spans="1:24" ht="15.75" customHeight="1" x14ac:dyDescent="0.15">
      <c r="A13" s="240"/>
      <c r="B13" s="241" t="s">
        <v>217</v>
      </c>
      <c r="C13" s="242">
        <f t="shared" ref="C13:L13" si="3">IFERROR(C12/C10,"")</f>
        <v>50000000</v>
      </c>
      <c r="D13" s="242">
        <f t="shared" si="3"/>
        <v>20000000</v>
      </c>
      <c r="E13" s="242">
        <f t="shared" si="3"/>
        <v>10000000</v>
      </c>
      <c r="F13" s="242" t="str">
        <f t="shared" si="3"/>
        <v/>
      </c>
      <c r="G13" s="242" t="str">
        <f t="shared" si="3"/>
        <v/>
      </c>
      <c r="H13" s="242" t="str">
        <f t="shared" si="3"/>
        <v/>
      </c>
      <c r="I13" s="242" t="str">
        <f t="shared" si="3"/>
        <v/>
      </c>
      <c r="J13" s="242" t="str">
        <f t="shared" si="3"/>
        <v/>
      </c>
      <c r="K13" s="242" t="str">
        <f t="shared" si="3"/>
        <v/>
      </c>
      <c r="L13" s="243">
        <f t="shared" si="3"/>
        <v>15500000</v>
      </c>
      <c r="M13" s="4"/>
      <c r="N13" s="4"/>
    </row>
    <row r="14" spans="1:24" ht="15.75" customHeight="1" x14ac:dyDescent="0.15">
      <c r="A14" s="211"/>
      <c r="B14" s="244"/>
      <c r="C14" s="245"/>
      <c r="D14" s="246"/>
      <c r="E14" s="246"/>
      <c r="F14" s="246"/>
      <c r="G14" s="246"/>
      <c r="H14" s="246"/>
      <c r="I14" s="246"/>
      <c r="J14" s="246"/>
      <c r="K14" s="246"/>
      <c r="L14" s="247"/>
      <c r="M14" s="4"/>
      <c r="N14" s="4"/>
    </row>
    <row r="15" spans="1:24" ht="15.75" customHeight="1" x14ac:dyDescent="0.15">
      <c r="A15" s="211"/>
      <c r="B15" s="244" t="s">
        <v>252</v>
      </c>
      <c r="C15" s="223" t="str">
        <f t="shared" ref="C15:K15" si="4">C7</f>
        <v>Public Sale</v>
      </c>
      <c r="D15" s="223" t="str">
        <f t="shared" si="4"/>
        <v>Private Sale 1</v>
      </c>
      <c r="E15" s="223" t="str">
        <f t="shared" si="4"/>
        <v>Seed Sale</v>
      </c>
      <c r="F15" s="223" t="str">
        <f t="shared" si="4"/>
        <v>Team</v>
      </c>
      <c r="G15" s="223" t="str">
        <f t="shared" si="4"/>
        <v>Ecosystem</v>
      </c>
      <c r="H15" s="223" t="str">
        <f t="shared" si="4"/>
        <v>Block Rewards</v>
      </c>
      <c r="I15" s="223" t="str">
        <f t="shared" si="4"/>
        <v>Token Treasury</v>
      </c>
      <c r="J15" s="223" t="str">
        <f t="shared" si="4"/>
        <v>[Other - Please Fill In]</v>
      </c>
      <c r="K15" s="223" t="str">
        <f t="shared" si="4"/>
        <v>[Other - Please Fill In]</v>
      </c>
      <c r="L15" s="222" t="s">
        <v>14</v>
      </c>
      <c r="M15" s="4"/>
      <c r="N15" s="4"/>
    </row>
    <row r="16" spans="1:24" ht="15.75" customHeight="1" x14ac:dyDescent="0.15">
      <c r="A16" s="211"/>
      <c r="B16" s="248" t="s">
        <v>253</v>
      </c>
      <c r="C16" s="249"/>
      <c r="D16" s="286"/>
      <c r="E16" s="286"/>
      <c r="F16" s="286"/>
      <c r="G16" s="286"/>
      <c r="H16" s="286"/>
      <c r="I16" s="286"/>
      <c r="J16" s="286"/>
      <c r="K16" s="286"/>
      <c r="L16" s="287"/>
      <c r="M16" s="4"/>
      <c r="N16" s="4"/>
    </row>
    <row r="17" spans="1:24" ht="15.75" customHeight="1" x14ac:dyDescent="0.15">
      <c r="A17" s="211"/>
      <c r="B17" s="253" t="s">
        <v>221</v>
      </c>
      <c r="C17" s="262"/>
      <c r="D17" s="235"/>
      <c r="E17" s="235"/>
      <c r="F17" s="235"/>
      <c r="G17" s="235"/>
      <c r="H17" s="235"/>
      <c r="I17" s="235"/>
      <c r="J17" s="235"/>
      <c r="K17" s="235"/>
      <c r="L17" s="288"/>
      <c r="M17" s="4"/>
      <c r="N17" s="4"/>
    </row>
    <row r="18" spans="1:24" ht="15.75" customHeight="1" x14ac:dyDescent="0.15">
      <c r="A18" s="211"/>
      <c r="B18" s="253" t="s">
        <v>222</v>
      </c>
      <c r="C18" s="262"/>
      <c r="D18" s="235"/>
      <c r="E18" s="235"/>
      <c r="F18" s="235"/>
      <c r="G18" s="235"/>
      <c r="H18" s="235"/>
      <c r="I18" s="235"/>
      <c r="J18" s="235"/>
      <c r="K18" s="235"/>
      <c r="L18" s="288"/>
      <c r="M18" s="4"/>
      <c r="N18" s="4"/>
    </row>
    <row r="19" spans="1:24" ht="15.75" customHeight="1" x14ac:dyDescent="0.15">
      <c r="A19" s="211"/>
      <c r="B19" s="253" t="s">
        <v>254</v>
      </c>
      <c r="C19" s="262"/>
      <c r="D19" s="235"/>
      <c r="E19" s="235"/>
      <c r="F19" s="235"/>
      <c r="G19" s="235"/>
      <c r="H19" s="235"/>
      <c r="I19" s="235"/>
      <c r="J19" s="235"/>
      <c r="K19" s="235"/>
      <c r="L19" s="288"/>
      <c r="M19" s="4"/>
      <c r="N19" s="4"/>
    </row>
    <row r="20" spans="1:24" ht="15.75" customHeight="1" x14ac:dyDescent="0.15">
      <c r="A20" s="211"/>
      <c r="B20" s="253"/>
      <c r="C20" s="262"/>
      <c r="D20" s="235"/>
      <c r="E20" s="235"/>
      <c r="F20" s="235"/>
      <c r="G20" s="235"/>
      <c r="H20" s="235"/>
      <c r="I20" s="235"/>
      <c r="J20" s="235"/>
      <c r="K20" s="235"/>
      <c r="L20" s="288"/>
      <c r="M20" s="4"/>
      <c r="N20" s="4"/>
    </row>
    <row r="21" spans="1:24" ht="15.75" customHeight="1" x14ac:dyDescent="0.15">
      <c r="A21" s="211"/>
      <c r="B21" s="209"/>
      <c r="C21" s="262"/>
      <c r="D21" s="235"/>
      <c r="E21" s="235"/>
      <c r="F21" s="235"/>
      <c r="G21" s="235"/>
      <c r="H21" s="235"/>
      <c r="I21" s="235"/>
      <c r="J21" s="235"/>
      <c r="K21" s="235"/>
      <c r="L21" s="288"/>
      <c r="M21" s="4"/>
      <c r="N21" s="4"/>
    </row>
    <row r="22" spans="1:24" ht="15.75" customHeight="1" x14ac:dyDescent="0.15">
      <c r="A22" s="211"/>
      <c r="B22" s="209" t="s">
        <v>224</v>
      </c>
      <c r="C22" s="262" t="s">
        <v>214</v>
      </c>
      <c r="D22" s="235">
        <v>24</v>
      </c>
      <c r="E22" s="235">
        <v>30</v>
      </c>
      <c r="F22" s="235">
        <v>36</v>
      </c>
      <c r="G22" s="235">
        <v>24</v>
      </c>
      <c r="H22" s="235">
        <v>0</v>
      </c>
      <c r="I22" s="235">
        <v>24</v>
      </c>
      <c r="J22" s="235">
        <v>0</v>
      </c>
      <c r="K22" s="235">
        <v>0</v>
      </c>
      <c r="L22" s="288"/>
      <c r="M22" s="4"/>
      <c r="N22" s="4"/>
    </row>
    <row r="23" spans="1:24" ht="15.75" customHeight="1" x14ac:dyDescent="0.15">
      <c r="A23" s="211"/>
      <c r="B23" s="209" t="s">
        <v>223</v>
      </c>
      <c r="C23" s="262" t="s">
        <v>214</v>
      </c>
      <c r="D23" s="235">
        <v>6</v>
      </c>
      <c r="E23" s="235">
        <v>0</v>
      </c>
      <c r="F23" s="235">
        <v>12</v>
      </c>
      <c r="G23" s="235">
        <v>24</v>
      </c>
      <c r="H23" s="235">
        <v>0</v>
      </c>
      <c r="I23" s="235">
        <v>24</v>
      </c>
      <c r="J23" s="235">
        <v>0</v>
      </c>
      <c r="K23" s="235">
        <v>0</v>
      </c>
      <c r="L23" s="288"/>
      <c r="M23" s="4"/>
      <c r="N23" s="4"/>
    </row>
    <row r="24" spans="1:24" ht="15.75" customHeight="1" x14ac:dyDescent="0.15">
      <c r="A24" s="211"/>
      <c r="B24" s="209" t="s">
        <v>221</v>
      </c>
      <c r="C24" s="262" t="s">
        <v>214</v>
      </c>
      <c r="D24" s="257">
        <v>0.25</v>
      </c>
      <c r="E24" s="257">
        <v>0.2</v>
      </c>
      <c r="F24" s="257">
        <v>0.25</v>
      </c>
      <c r="G24" s="257">
        <v>0.25</v>
      </c>
      <c r="H24" s="258" t="s">
        <v>214</v>
      </c>
      <c r="I24" s="257">
        <v>0.25</v>
      </c>
      <c r="J24" s="257">
        <v>0</v>
      </c>
      <c r="K24" s="257">
        <v>0</v>
      </c>
      <c r="L24" s="288"/>
      <c r="M24" s="4"/>
      <c r="N24" s="4"/>
    </row>
    <row r="25" spans="1:24" ht="15.75" customHeight="1" x14ac:dyDescent="0.15">
      <c r="A25" s="211"/>
      <c r="B25" s="209" t="s">
        <v>226</v>
      </c>
      <c r="C25" s="262" t="s">
        <v>214</v>
      </c>
      <c r="D25" s="235">
        <v>6</v>
      </c>
      <c r="E25" s="235">
        <v>3</v>
      </c>
      <c r="F25" s="235">
        <v>3</v>
      </c>
      <c r="G25" s="235">
        <v>3</v>
      </c>
      <c r="H25" s="235">
        <v>3</v>
      </c>
      <c r="I25" s="235">
        <v>1</v>
      </c>
      <c r="J25" s="235">
        <v>0</v>
      </c>
      <c r="K25" s="235">
        <v>0</v>
      </c>
      <c r="L25" s="288"/>
      <c r="M25" s="4"/>
      <c r="N25" s="4"/>
      <c r="P25" s="222"/>
      <c r="Q25" s="222"/>
      <c r="R25" s="222"/>
      <c r="S25" s="222"/>
      <c r="T25" s="222"/>
      <c r="U25" s="222"/>
      <c r="V25" s="222"/>
      <c r="W25" s="4"/>
      <c r="X25" s="4"/>
    </row>
    <row r="26" spans="1:24" ht="15.75" customHeight="1" x14ac:dyDescent="0.15">
      <c r="A26" s="211"/>
      <c r="B26" s="241" t="s">
        <v>227</v>
      </c>
      <c r="C26" s="289" t="s">
        <v>214</v>
      </c>
      <c r="D26" s="289">
        <f t="shared" ref="D26:K26" si="5">(D22-D23)/D25</f>
        <v>3</v>
      </c>
      <c r="E26" s="289">
        <f t="shared" si="5"/>
        <v>10</v>
      </c>
      <c r="F26" s="289">
        <f t="shared" si="5"/>
        <v>8</v>
      </c>
      <c r="G26" s="289">
        <f t="shared" si="5"/>
        <v>0</v>
      </c>
      <c r="H26" s="289">
        <f t="shared" si="5"/>
        <v>0</v>
      </c>
      <c r="I26" s="289">
        <f t="shared" si="5"/>
        <v>0</v>
      </c>
      <c r="J26" s="289" t="e">
        <f t="shared" si="5"/>
        <v>#DIV/0!</v>
      </c>
      <c r="K26" s="289" t="e">
        <f t="shared" si="5"/>
        <v>#DIV/0!</v>
      </c>
      <c r="L26" s="290"/>
      <c r="M26" s="4"/>
      <c r="N26" s="4"/>
      <c r="P26" s="222"/>
      <c r="Q26" s="222"/>
      <c r="R26" s="222"/>
      <c r="S26" s="222"/>
      <c r="T26" s="222"/>
      <c r="U26" s="222"/>
      <c r="V26" s="222"/>
      <c r="W26" s="4"/>
      <c r="X26" s="4"/>
    </row>
    <row r="27" spans="1:24" ht="15.75" customHeight="1" x14ac:dyDescent="0.15">
      <c r="A27" s="12"/>
      <c r="B27" s="12"/>
      <c r="C27" s="222"/>
      <c r="D27" s="222"/>
      <c r="E27" s="222"/>
      <c r="F27" s="222"/>
      <c r="G27" s="222"/>
      <c r="H27" s="222"/>
      <c r="I27" s="222"/>
      <c r="J27" s="4"/>
      <c r="K27" s="4"/>
      <c r="L27" s="4"/>
      <c r="M27" s="4"/>
      <c r="N27" s="4"/>
      <c r="P27" s="222"/>
      <c r="Q27" s="222"/>
      <c r="R27" s="222"/>
      <c r="S27" s="222"/>
      <c r="T27" s="222"/>
      <c r="U27" s="222"/>
      <c r="V27" s="222"/>
      <c r="W27" s="4"/>
      <c r="X27" s="4"/>
    </row>
    <row r="28" spans="1:24" ht="15.75" customHeight="1" x14ac:dyDescent="0.15">
      <c r="A28" s="12"/>
      <c r="B28" s="12"/>
      <c r="C28" s="291" t="str">
        <f t="shared" ref="C28:K28" si="6">C7</f>
        <v>Public Sale</v>
      </c>
      <c r="D28" s="291" t="str">
        <f t="shared" si="6"/>
        <v>Private Sale 1</v>
      </c>
      <c r="E28" s="291" t="str">
        <f t="shared" si="6"/>
        <v>Seed Sale</v>
      </c>
      <c r="F28" s="291" t="str">
        <f t="shared" si="6"/>
        <v>Team</v>
      </c>
      <c r="G28" s="291" t="str">
        <f t="shared" si="6"/>
        <v>Ecosystem</v>
      </c>
      <c r="H28" s="291" t="str">
        <f t="shared" si="6"/>
        <v>Block Rewards</v>
      </c>
      <c r="I28" s="291" t="str">
        <f t="shared" si="6"/>
        <v>Token Treasury</v>
      </c>
      <c r="J28" s="292" t="str">
        <f t="shared" si="6"/>
        <v>[Other - Please Fill In]</v>
      </c>
      <c r="K28" s="292" t="str">
        <f t="shared" si="6"/>
        <v>[Other - Please Fill In]</v>
      </c>
      <c r="L28" s="292" t="s">
        <v>11</v>
      </c>
      <c r="M28" s="292" t="s">
        <v>12</v>
      </c>
      <c r="N28" s="292" t="s">
        <v>13</v>
      </c>
      <c r="P28" s="222" t="str">
        <f t="shared" ref="P28:X28" si="7">P7</f>
        <v>Public Sale</v>
      </c>
      <c r="Q28" s="222" t="str">
        <f t="shared" si="7"/>
        <v>Private Sale</v>
      </c>
      <c r="R28" s="222" t="str">
        <f t="shared" si="7"/>
        <v>Team</v>
      </c>
      <c r="S28" s="222" t="str">
        <f t="shared" si="7"/>
        <v>Advisors</v>
      </c>
      <c r="T28" s="222" t="str">
        <f t="shared" si="7"/>
        <v>Strategic Sale</v>
      </c>
      <c r="U28" s="222" t="str">
        <f t="shared" si="7"/>
        <v>Seed Sale</v>
      </c>
      <c r="V28" s="222" t="str">
        <f t="shared" si="7"/>
        <v>Token Treasury</v>
      </c>
      <c r="W28" s="4" t="str">
        <f t="shared" si="7"/>
        <v>[Other - Please Fill In]</v>
      </c>
      <c r="X28" s="4" t="str">
        <f t="shared" si="7"/>
        <v>[Other - Please Fill In]</v>
      </c>
    </row>
    <row r="29" spans="1:24" ht="15.75" customHeight="1" x14ac:dyDescent="0.15">
      <c r="A29" s="211"/>
      <c r="B29" s="13">
        <f ca="1">EOMONTH(C3,1)</f>
        <v>45930</v>
      </c>
      <c r="C29" s="274">
        <f>C9</f>
        <v>25000000</v>
      </c>
      <c r="D29" s="274"/>
      <c r="E29" s="274">
        <f>E9*E24</f>
        <v>2000000</v>
      </c>
      <c r="F29" s="274"/>
      <c r="G29" s="274"/>
      <c r="H29" s="274"/>
      <c r="I29" s="274"/>
      <c r="J29" s="274"/>
      <c r="K29" s="274"/>
      <c r="L29" s="15">
        <f>SUM(C29:K29)</f>
        <v>27000000</v>
      </c>
      <c r="M29" s="271">
        <f t="shared" ref="M29:M86" si="8">L29/$C$2</f>
        <v>0.27</v>
      </c>
      <c r="N29" s="272"/>
      <c r="P29" s="273">
        <f t="shared" ref="P29:X29" si="9">(SUM(C$29:C29)/$L$9*100)</f>
        <v>25</v>
      </c>
      <c r="Q29" s="273">
        <f t="shared" si="9"/>
        <v>0</v>
      </c>
      <c r="R29" s="273">
        <f t="shared" si="9"/>
        <v>2</v>
      </c>
      <c r="S29" s="273">
        <f t="shared" si="9"/>
        <v>0</v>
      </c>
      <c r="T29" s="273">
        <f t="shared" si="9"/>
        <v>0</v>
      </c>
      <c r="U29" s="273">
        <f t="shared" si="9"/>
        <v>0</v>
      </c>
      <c r="V29" s="273">
        <f t="shared" si="9"/>
        <v>0</v>
      </c>
      <c r="W29" s="273">
        <f t="shared" si="9"/>
        <v>0</v>
      </c>
      <c r="X29" s="273">
        <f t="shared" si="9"/>
        <v>0</v>
      </c>
    </row>
    <row r="30" spans="1:24" ht="15.75" customHeight="1" x14ac:dyDescent="0.15">
      <c r="A30" s="13"/>
      <c r="B30" s="13">
        <f t="shared" ref="B30:B88" ca="1" si="10">EOMONTH(B29,1)</f>
        <v>45961</v>
      </c>
      <c r="C30" s="274"/>
      <c r="D30" s="274"/>
      <c r="E30" s="274"/>
      <c r="F30" s="274"/>
      <c r="G30" s="274"/>
      <c r="H30" s="274"/>
      <c r="I30" s="274"/>
      <c r="J30" s="274"/>
      <c r="K30" s="274"/>
      <c r="L30" s="15">
        <f t="shared" ref="L30:L86" si="11">SUM(C30:K30)+L29</f>
        <v>27000000</v>
      </c>
      <c r="M30" s="271">
        <f t="shared" si="8"/>
        <v>0.27</v>
      </c>
      <c r="N30" s="271">
        <f t="shared" ref="N30:N86" si="12">M30-M29</f>
        <v>0</v>
      </c>
      <c r="P30" s="273">
        <f t="shared" ref="P30:X30" si="13">(SUM(C$29:C30)/$L$9*100)</f>
        <v>25</v>
      </c>
      <c r="Q30" s="273">
        <f t="shared" si="13"/>
        <v>0</v>
      </c>
      <c r="R30" s="273">
        <f t="shared" si="13"/>
        <v>2</v>
      </c>
      <c r="S30" s="273">
        <f t="shared" si="13"/>
        <v>0</v>
      </c>
      <c r="T30" s="273">
        <f t="shared" si="13"/>
        <v>0</v>
      </c>
      <c r="U30" s="273">
        <f t="shared" si="13"/>
        <v>0</v>
      </c>
      <c r="V30" s="273">
        <f t="shared" si="13"/>
        <v>0</v>
      </c>
      <c r="W30" s="273">
        <f t="shared" si="13"/>
        <v>0</v>
      </c>
      <c r="X30" s="273">
        <f t="shared" si="13"/>
        <v>0</v>
      </c>
    </row>
    <row r="31" spans="1:24" ht="15.75" customHeight="1" x14ac:dyDescent="0.15">
      <c r="A31" s="211" t="s">
        <v>230</v>
      </c>
      <c r="B31" s="13">
        <f t="shared" ca="1" si="10"/>
        <v>45991</v>
      </c>
      <c r="C31" s="274"/>
      <c r="D31" s="274"/>
      <c r="E31" s="274">
        <f>(E9-E29)/E26</f>
        <v>800000</v>
      </c>
      <c r="F31" s="274"/>
      <c r="G31" s="274"/>
      <c r="H31" s="274"/>
      <c r="I31" s="274"/>
      <c r="J31" s="274"/>
      <c r="K31" s="274"/>
      <c r="L31" s="15">
        <f t="shared" si="11"/>
        <v>27800000</v>
      </c>
      <c r="M31" s="271">
        <f t="shared" si="8"/>
        <v>0.27800000000000002</v>
      </c>
      <c r="N31" s="271">
        <f t="shared" si="12"/>
        <v>8.0000000000000071E-3</v>
      </c>
      <c r="P31" s="273">
        <f t="shared" ref="P31:X31" si="14">(SUM(C$29:C31)/$L$9*100)</f>
        <v>25</v>
      </c>
      <c r="Q31" s="273">
        <f t="shared" si="14"/>
        <v>0</v>
      </c>
      <c r="R31" s="273">
        <f t="shared" si="14"/>
        <v>2.8000000000000003</v>
      </c>
      <c r="S31" s="273">
        <f t="shared" si="14"/>
        <v>0</v>
      </c>
      <c r="T31" s="273">
        <f t="shared" si="14"/>
        <v>0</v>
      </c>
      <c r="U31" s="273">
        <f t="shared" si="14"/>
        <v>0</v>
      </c>
      <c r="V31" s="273">
        <f t="shared" si="14"/>
        <v>0</v>
      </c>
      <c r="W31" s="273">
        <f t="shared" si="14"/>
        <v>0</v>
      </c>
      <c r="X31" s="273">
        <f t="shared" si="14"/>
        <v>0</v>
      </c>
    </row>
    <row r="32" spans="1:24" ht="15.75" customHeight="1" x14ac:dyDescent="0.15">
      <c r="A32" s="13"/>
      <c r="B32" s="13">
        <f t="shared" ca="1" si="10"/>
        <v>46022</v>
      </c>
      <c r="C32" s="274"/>
      <c r="D32" s="274"/>
      <c r="E32" s="274"/>
      <c r="F32" s="274"/>
      <c r="G32" s="274"/>
      <c r="H32" s="274"/>
      <c r="I32" s="274"/>
      <c r="J32" s="274"/>
      <c r="K32" s="274"/>
      <c r="L32" s="15">
        <f t="shared" si="11"/>
        <v>27800000</v>
      </c>
      <c r="M32" s="271">
        <f t="shared" si="8"/>
        <v>0.27800000000000002</v>
      </c>
      <c r="N32" s="271">
        <f t="shared" si="12"/>
        <v>0</v>
      </c>
      <c r="P32" s="273">
        <f t="shared" ref="P32:X32" si="15">(SUM(C$29:C32)/$L$9*100)</f>
        <v>25</v>
      </c>
      <c r="Q32" s="273">
        <f t="shared" si="15"/>
        <v>0</v>
      </c>
      <c r="R32" s="273">
        <f t="shared" si="15"/>
        <v>2.8000000000000003</v>
      </c>
      <c r="S32" s="273">
        <f t="shared" si="15"/>
        <v>0</v>
      </c>
      <c r="T32" s="273">
        <f t="shared" si="15"/>
        <v>0</v>
      </c>
      <c r="U32" s="273">
        <f t="shared" si="15"/>
        <v>0</v>
      </c>
      <c r="V32" s="273">
        <f t="shared" si="15"/>
        <v>0</v>
      </c>
      <c r="W32" s="273">
        <f t="shared" si="15"/>
        <v>0</v>
      </c>
      <c r="X32" s="273">
        <f t="shared" si="15"/>
        <v>0</v>
      </c>
    </row>
    <row r="33" spans="1:24" ht="15.75" customHeight="1" x14ac:dyDescent="0.15">
      <c r="A33" s="13"/>
      <c r="B33" s="13">
        <f t="shared" ca="1" si="10"/>
        <v>46053</v>
      </c>
      <c r="C33" s="274"/>
      <c r="D33" s="274"/>
      <c r="E33" s="274"/>
      <c r="F33" s="274"/>
      <c r="G33" s="274"/>
      <c r="H33" s="274"/>
      <c r="I33" s="274"/>
      <c r="J33" s="274"/>
      <c r="K33" s="274"/>
      <c r="L33" s="15">
        <f t="shared" si="11"/>
        <v>27800000</v>
      </c>
      <c r="M33" s="271">
        <f t="shared" si="8"/>
        <v>0.27800000000000002</v>
      </c>
      <c r="N33" s="271">
        <f t="shared" si="12"/>
        <v>0</v>
      </c>
      <c r="P33" s="273">
        <f t="shared" ref="P33:X33" si="16">(SUM(C$29:C33)/$L$9*100)</f>
        <v>25</v>
      </c>
      <c r="Q33" s="273">
        <f t="shared" si="16"/>
        <v>0</v>
      </c>
      <c r="R33" s="273">
        <f t="shared" si="16"/>
        <v>2.8000000000000003</v>
      </c>
      <c r="S33" s="273">
        <f t="shared" si="16"/>
        <v>0</v>
      </c>
      <c r="T33" s="273">
        <f t="shared" si="16"/>
        <v>0</v>
      </c>
      <c r="U33" s="273">
        <f t="shared" si="16"/>
        <v>0</v>
      </c>
      <c r="V33" s="273">
        <f t="shared" si="16"/>
        <v>0</v>
      </c>
      <c r="W33" s="273">
        <f t="shared" si="16"/>
        <v>0</v>
      </c>
      <c r="X33" s="273">
        <f t="shared" si="16"/>
        <v>0</v>
      </c>
    </row>
    <row r="34" spans="1:24" ht="15.75" customHeight="1" x14ac:dyDescent="0.15">
      <c r="A34" s="211" t="s">
        <v>231</v>
      </c>
      <c r="B34" s="13">
        <f t="shared" ca="1" si="10"/>
        <v>46081</v>
      </c>
      <c r="C34" s="274"/>
      <c r="D34" s="274">
        <f>D24*D9</f>
        <v>2500000</v>
      </c>
      <c r="E34" s="274">
        <f>$E$31</f>
        <v>800000</v>
      </c>
      <c r="F34" s="274"/>
      <c r="G34" s="274"/>
      <c r="H34" s="274"/>
      <c r="I34" s="274"/>
      <c r="J34" s="274"/>
      <c r="K34" s="274"/>
      <c r="L34" s="15">
        <f t="shared" si="11"/>
        <v>31100000</v>
      </c>
      <c r="M34" s="271">
        <f t="shared" si="8"/>
        <v>0.311</v>
      </c>
      <c r="N34" s="271">
        <f t="shared" si="12"/>
        <v>3.2999999999999974E-2</v>
      </c>
      <c r="P34" s="273">
        <f t="shared" ref="P34:X34" si="17">(SUM(C$29:C34)/$L$9*100)</f>
        <v>25</v>
      </c>
      <c r="Q34" s="273">
        <f t="shared" si="17"/>
        <v>2.5</v>
      </c>
      <c r="R34" s="273">
        <f t="shared" si="17"/>
        <v>3.5999999999999996</v>
      </c>
      <c r="S34" s="273">
        <f t="shared" si="17"/>
        <v>0</v>
      </c>
      <c r="T34" s="273">
        <f t="shared" si="17"/>
        <v>0</v>
      </c>
      <c r="U34" s="273">
        <f t="shared" si="17"/>
        <v>0</v>
      </c>
      <c r="V34" s="273">
        <f t="shared" si="17"/>
        <v>0</v>
      </c>
      <c r="W34" s="273">
        <f t="shared" si="17"/>
        <v>0</v>
      </c>
      <c r="X34" s="273">
        <f t="shared" si="17"/>
        <v>0</v>
      </c>
    </row>
    <row r="35" spans="1:24" ht="15.75" customHeight="1" x14ac:dyDescent="0.15">
      <c r="A35" s="13"/>
      <c r="B35" s="13">
        <f t="shared" ca="1" si="10"/>
        <v>46112</v>
      </c>
      <c r="C35" s="274"/>
      <c r="D35" s="274"/>
      <c r="E35" s="274"/>
      <c r="F35" s="274"/>
      <c r="G35" s="274"/>
      <c r="H35" s="274"/>
      <c r="I35" s="274"/>
      <c r="J35" s="274"/>
      <c r="K35" s="274"/>
      <c r="L35" s="15">
        <f t="shared" si="11"/>
        <v>31100000</v>
      </c>
      <c r="M35" s="271">
        <f t="shared" si="8"/>
        <v>0.311</v>
      </c>
      <c r="N35" s="271">
        <f t="shared" si="12"/>
        <v>0</v>
      </c>
      <c r="P35" s="273">
        <f t="shared" ref="P35:X35" si="18">(SUM(C$29:C35)/$L$9*100)</f>
        <v>25</v>
      </c>
      <c r="Q35" s="273">
        <f t="shared" si="18"/>
        <v>2.5</v>
      </c>
      <c r="R35" s="273">
        <f t="shared" si="18"/>
        <v>3.5999999999999996</v>
      </c>
      <c r="S35" s="273">
        <f t="shared" si="18"/>
        <v>0</v>
      </c>
      <c r="T35" s="273">
        <f t="shared" si="18"/>
        <v>0</v>
      </c>
      <c r="U35" s="273">
        <f t="shared" si="18"/>
        <v>0</v>
      </c>
      <c r="V35" s="273">
        <f t="shared" si="18"/>
        <v>0</v>
      </c>
      <c r="W35" s="273">
        <f t="shared" si="18"/>
        <v>0</v>
      </c>
      <c r="X35" s="273">
        <f t="shared" si="18"/>
        <v>0</v>
      </c>
    </row>
    <row r="36" spans="1:24" ht="15.75" customHeight="1" x14ac:dyDescent="0.15">
      <c r="A36" s="13"/>
      <c r="B36" s="13">
        <f t="shared" ca="1" si="10"/>
        <v>46142</v>
      </c>
      <c r="C36" s="274"/>
      <c r="D36" s="274"/>
      <c r="E36" s="274"/>
      <c r="F36" s="274"/>
      <c r="G36" s="274"/>
      <c r="H36" s="274"/>
      <c r="I36" s="274"/>
      <c r="J36" s="274"/>
      <c r="K36" s="274"/>
      <c r="L36" s="15">
        <f t="shared" si="11"/>
        <v>31100000</v>
      </c>
      <c r="M36" s="271">
        <f t="shared" si="8"/>
        <v>0.311</v>
      </c>
      <c r="N36" s="271">
        <f t="shared" si="12"/>
        <v>0</v>
      </c>
      <c r="P36" s="273">
        <f t="shared" ref="P36:X36" si="19">(SUM(C$29:C36)/$L$9*100)</f>
        <v>25</v>
      </c>
      <c r="Q36" s="273">
        <f t="shared" si="19"/>
        <v>2.5</v>
      </c>
      <c r="R36" s="273">
        <f t="shared" si="19"/>
        <v>3.5999999999999996</v>
      </c>
      <c r="S36" s="273">
        <f t="shared" si="19"/>
        <v>0</v>
      </c>
      <c r="T36" s="273">
        <f t="shared" si="19"/>
        <v>0</v>
      </c>
      <c r="U36" s="273">
        <f t="shared" si="19"/>
        <v>0</v>
      </c>
      <c r="V36" s="273">
        <f t="shared" si="19"/>
        <v>0</v>
      </c>
      <c r="W36" s="273">
        <f t="shared" si="19"/>
        <v>0</v>
      </c>
      <c r="X36" s="273">
        <f t="shared" si="19"/>
        <v>0</v>
      </c>
    </row>
    <row r="37" spans="1:24" ht="15.75" customHeight="1" x14ac:dyDescent="0.15">
      <c r="A37" s="211" t="s">
        <v>232</v>
      </c>
      <c r="B37" s="13">
        <f t="shared" ca="1" si="10"/>
        <v>46173</v>
      </c>
      <c r="C37" s="274"/>
      <c r="D37" s="274"/>
      <c r="E37" s="274">
        <f>$E$31</f>
        <v>800000</v>
      </c>
      <c r="F37" s="274"/>
      <c r="G37" s="274"/>
      <c r="H37" s="274"/>
      <c r="I37" s="274"/>
      <c r="J37" s="274"/>
      <c r="K37" s="274"/>
      <c r="L37" s="15">
        <f t="shared" si="11"/>
        <v>31900000</v>
      </c>
      <c r="M37" s="271">
        <f t="shared" si="8"/>
        <v>0.31900000000000001</v>
      </c>
      <c r="N37" s="271">
        <f t="shared" si="12"/>
        <v>8.0000000000000071E-3</v>
      </c>
      <c r="P37" s="273">
        <f t="shared" ref="P37:X37" si="20">(SUM(C$29:C37)/$L$9*100)</f>
        <v>25</v>
      </c>
      <c r="Q37" s="273">
        <f t="shared" si="20"/>
        <v>2.5</v>
      </c>
      <c r="R37" s="273">
        <f t="shared" si="20"/>
        <v>4.3999999999999995</v>
      </c>
      <c r="S37" s="273">
        <f t="shared" si="20"/>
        <v>0</v>
      </c>
      <c r="T37" s="273">
        <f t="shared" si="20"/>
        <v>0</v>
      </c>
      <c r="U37" s="273">
        <f t="shared" si="20"/>
        <v>0</v>
      </c>
      <c r="V37" s="273">
        <f t="shared" si="20"/>
        <v>0</v>
      </c>
      <c r="W37" s="273">
        <f t="shared" si="20"/>
        <v>0</v>
      </c>
      <c r="X37" s="273">
        <f t="shared" si="20"/>
        <v>0</v>
      </c>
    </row>
    <row r="38" spans="1:24" ht="15.75" customHeight="1" x14ac:dyDescent="0.15">
      <c r="A38" s="13"/>
      <c r="B38" s="13">
        <f t="shared" ca="1" si="10"/>
        <v>46203</v>
      </c>
      <c r="C38" s="274"/>
      <c r="D38" s="274"/>
      <c r="E38" s="274"/>
      <c r="F38" s="274"/>
      <c r="G38" s="274"/>
      <c r="H38" s="274"/>
      <c r="I38" s="274"/>
      <c r="J38" s="274"/>
      <c r="K38" s="274"/>
      <c r="L38" s="15">
        <f t="shared" si="11"/>
        <v>31900000</v>
      </c>
      <c r="M38" s="271">
        <f t="shared" si="8"/>
        <v>0.31900000000000001</v>
      </c>
      <c r="N38" s="271">
        <f t="shared" si="12"/>
        <v>0</v>
      </c>
      <c r="P38" s="273">
        <f t="shared" ref="P38:X38" si="21">(SUM(C$29:C38)/$L$9*100)</f>
        <v>25</v>
      </c>
      <c r="Q38" s="273">
        <f t="shared" si="21"/>
        <v>2.5</v>
      </c>
      <c r="R38" s="273">
        <f t="shared" si="21"/>
        <v>4.3999999999999995</v>
      </c>
      <c r="S38" s="273">
        <f t="shared" si="21"/>
        <v>0</v>
      </c>
      <c r="T38" s="273">
        <f t="shared" si="21"/>
        <v>0</v>
      </c>
      <c r="U38" s="273">
        <f t="shared" si="21"/>
        <v>0</v>
      </c>
      <c r="V38" s="273">
        <f t="shared" si="21"/>
        <v>0</v>
      </c>
      <c r="W38" s="273">
        <f t="shared" si="21"/>
        <v>0</v>
      </c>
      <c r="X38" s="273">
        <f t="shared" si="21"/>
        <v>0</v>
      </c>
    </row>
    <row r="39" spans="1:24" ht="15.75" customHeight="1" x14ac:dyDescent="0.15">
      <c r="A39" s="13"/>
      <c r="B39" s="13">
        <f t="shared" ca="1" si="10"/>
        <v>46234</v>
      </c>
      <c r="C39" s="274"/>
      <c r="D39" s="274"/>
      <c r="E39" s="274"/>
      <c r="F39" s="274"/>
      <c r="G39" s="274"/>
      <c r="H39" s="274"/>
      <c r="I39" s="274"/>
      <c r="J39" s="274"/>
      <c r="K39" s="274"/>
      <c r="L39" s="15">
        <f t="shared" si="11"/>
        <v>31900000</v>
      </c>
      <c r="M39" s="271">
        <f t="shared" si="8"/>
        <v>0.31900000000000001</v>
      </c>
      <c r="N39" s="271">
        <f t="shared" si="12"/>
        <v>0</v>
      </c>
      <c r="P39" s="273">
        <f t="shared" ref="P39:X39" si="22">(SUM(C$29:C39)/$L$9*100)</f>
        <v>25</v>
      </c>
      <c r="Q39" s="273">
        <f t="shared" si="22"/>
        <v>2.5</v>
      </c>
      <c r="R39" s="273">
        <f t="shared" si="22"/>
        <v>4.3999999999999995</v>
      </c>
      <c r="S39" s="273">
        <f t="shared" si="22"/>
        <v>0</v>
      </c>
      <c r="T39" s="273">
        <f t="shared" si="22"/>
        <v>0</v>
      </c>
      <c r="U39" s="273">
        <f t="shared" si="22"/>
        <v>0</v>
      </c>
      <c r="V39" s="273">
        <f t="shared" si="22"/>
        <v>0</v>
      </c>
      <c r="W39" s="273">
        <f t="shared" si="22"/>
        <v>0</v>
      </c>
      <c r="X39" s="273">
        <f t="shared" si="22"/>
        <v>0</v>
      </c>
    </row>
    <row r="40" spans="1:24" ht="15.75" customHeight="1" x14ac:dyDescent="0.15">
      <c r="A40" s="211" t="s">
        <v>233</v>
      </c>
      <c r="B40" s="13">
        <f t="shared" ca="1" si="10"/>
        <v>46265</v>
      </c>
      <c r="C40" s="274"/>
      <c r="D40" s="274">
        <f>($D$9-D34)/$D$26</f>
        <v>2500000</v>
      </c>
      <c r="E40" s="274">
        <f>$E$31</f>
        <v>800000</v>
      </c>
      <c r="F40" s="274">
        <f>F24*F9</f>
        <v>3750000</v>
      </c>
      <c r="G40" s="274"/>
      <c r="H40" s="274"/>
      <c r="I40" s="274"/>
      <c r="J40" s="274"/>
      <c r="K40" s="274"/>
      <c r="L40" s="15">
        <f t="shared" si="11"/>
        <v>38950000</v>
      </c>
      <c r="M40" s="271">
        <f t="shared" si="8"/>
        <v>0.38950000000000001</v>
      </c>
      <c r="N40" s="271">
        <f t="shared" si="12"/>
        <v>7.0500000000000007E-2</v>
      </c>
      <c r="P40" s="273">
        <f t="shared" ref="P40:X40" si="23">(SUM(C$29:C40)/$L$9*100)</f>
        <v>25</v>
      </c>
      <c r="Q40" s="273">
        <f t="shared" si="23"/>
        <v>5</v>
      </c>
      <c r="R40" s="273">
        <f t="shared" si="23"/>
        <v>5.2</v>
      </c>
      <c r="S40" s="273">
        <f t="shared" si="23"/>
        <v>3.75</v>
      </c>
      <c r="T40" s="273">
        <f t="shared" si="23"/>
        <v>0</v>
      </c>
      <c r="U40" s="273">
        <f t="shared" si="23"/>
        <v>0</v>
      </c>
      <c r="V40" s="273">
        <f t="shared" si="23"/>
        <v>0</v>
      </c>
      <c r="W40" s="273">
        <f t="shared" si="23"/>
        <v>0</v>
      </c>
      <c r="X40" s="273">
        <f t="shared" si="23"/>
        <v>0</v>
      </c>
    </row>
    <row r="41" spans="1:24" ht="15.75" customHeight="1" x14ac:dyDescent="0.15">
      <c r="A41" s="13"/>
      <c r="B41" s="13">
        <f t="shared" ca="1" si="10"/>
        <v>46295</v>
      </c>
      <c r="C41" s="274"/>
      <c r="D41" s="274"/>
      <c r="E41" s="274"/>
      <c r="F41" s="274"/>
      <c r="G41" s="274"/>
      <c r="H41" s="274"/>
      <c r="I41" s="274"/>
      <c r="J41" s="274"/>
      <c r="K41" s="274"/>
      <c r="L41" s="15">
        <f t="shared" si="11"/>
        <v>38950000</v>
      </c>
      <c r="M41" s="271">
        <f t="shared" si="8"/>
        <v>0.38950000000000001</v>
      </c>
      <c r="N41" s="271">
        <f t="shared" si="12"/>
        <v>0</v>
      </c>
      <c r="P41" s="273">
        <f t="shared" ref="P41:X41" si="24">(SUM(C$29:C41)/$L$9*100)</f>
        <v>25</v>
      </c>
      <c r="Q41" s="273">
        <f t="shared" si="24"/>
        <v>5</v>
      </c>
      <c r="R41" s="273">
        <f t="shared" si="24"/>
        <v>5.2</v>
      </c>
      <c r="S41" s="273">
        <f t="shared" si="24"/>
        <v>3.75</v>
      </c>
      <c r="T41" s="273">
        <f t="shared" si="24"/>
        <v>0</v>
      </c>
      <c r="U41" s="273">
        <f t="shared" si="24"/>
        <v>0</v>
      </c>
      <c r="V41" s="273">
        <f t="shared" si="24"/>
        <v>0</v>
      </c>
      <c r="W41" s="273">
        <f t="shared" si="24"/>
        <v>0</v>
      </c>
      <c r="X41" s="273">
        <f t="shared" si="24"/>
        <v>0</v>
      </c>
    </row>
    <row r="42" spans="1:24" ht="15.75" customHeight="1" x14ac:dyDescent="0.15">
      <c r="A42" s="13"/>
      <c r="B42" s="13">
        <f t="shared" ca="1" si="10"/>
        <v>46326</v>
      </c>
      <c r="C42" s="274"/>
      <c r="D42" s="274"/>
      <c r="E42" s="274"/>
      <c r="F42" s="274"/>
      <c r="G42" s="274"/>
      <c r="H42" s="274"/>
      <c r="I42" s="274"/>
      <c r="J42" s="274"/>
      <c r="K42" s="274"/>
      <c r="L42" s="15">
        <f t="shared" si="11"/>
        <v>38950000</v>
      </c>
      <c r="M42" s="271">
        <f t="shared" si="8"/>
        <v>0.38950000000000001</v>
      </c>
      <c r="N42" s="271">
        <f t="shared" si="12"/>
        <v>0</v>
      </c>
      <c r="P42" s="273">
        <f t="shared" ref="P42:X42" si="25">(SUM(C$29:C42)/$L$9*100)</f>
        <v>25</v>
      </c>
      <c r="Q42" s="273">
        <f t="shared" si="25"/>
        <v>5</v>
      </c>
      <c r="R42" s="273">
        <f t="shared" si="25"/>
        <v>5.2</v>
      </c>
      <c r="S42" s="273">
        <f t="shared" si="25"/>
        <v>3.75</v>
      </c>
      <c r="T42" s="273">
        <f t="shared" si="25"/>
        <v>0</v>
      </c>
      <c r="U42" s="273">
        <f t="shared" si="25"/>
        <v>0</v>
      </c>
      <c r="V42" s="273">
        <f t="shared" si="25"/>
        <v>0</v>
      </c>
      <c r="W42" s="273">
        <f t="shared" si="25"/>
        <v>0</v>
      </c>
      <c r="X42" s="273">
        <f t="shared" si="25"/>
        <v>0</v>
      </c>
    </row>
    <row r="43" spans="1:24" ht="15.75" customHeight="1" x14ac:dyDescent="0.15">
      <c r="A43" s="211" t="s">
        <v>234</v>
      </c>
      <c r="B43" s="13">
        <f t="shared" ca="1" si="10"/>
        <v>46356</v>
      </c>
      <c r="C43" s="274"/>
      <c r="D43" s="274"/>
      <c r="E43" s="274">
        <f>$E$31</f>
        <v>800000</v>
      </c>
      <c r="F43" s="274"/>
      <c r="G43" s="274"/>
      <c r="H43" s="274"/>
      <c r="I43" s="274"/>
      <c r="J43" s="274"/>
      <c r="K43" s="274"/>
      <c r="L43" s="15">
        <f t="shared" si="11"/>
        <v>39750000</v>
      </c>
      <c r="M43" s="271">
        <f t="shared" si="8"/>
        <v>0.39750000000000002</v>
      </c>
      <c r="N43" s="271">
        <f t="shared" si="12"/>
        <v>8.0000000000000071E-3</v>
      </c>
      <c r="P43" s="273">
        <f t="shared" ref="P43:X43" si="26">(SUM(C$29:C43)/$L$9*100)</f>
        <v>25</v>
      </c>
      <c r="Q43" s="273">
        <f t="shared" si="26"/>
        <v>5</v>
      </c>
      <c r="R43" s="273">
        <f t="shared" si="26"/>
        <v>6</v>
      </c>
      <c r="S43" s="273">
        <f t="shared" si="26"/>
        <v>3.75</v>
      </c>
      <c r="T43" s="273">
        <f t="shared" si="26"/>
        <v>0</v>
      </c>
      <c r="U43" s="273">
        <f t="shared" si="26"/>
        <v>0</v>
      </c>
      <c r="V43" s="273">
        <f t="shared" si="26"/>
        <v>0</v>
      </c>
      <c r="W43" s="273">
        <f t="shared" si="26"/>
        <v>0</v>
      </c>
      <c r="X43" s="273">
        <f t="shared" si="26"/>
        <v>0</v>
      </c>
    </row>
    <row r="44" spans="1:24" ht="15.75" customHeight="1" x14ac:dyDescent="0.15">
      <c r="A44" s="13"/>
      <c r="B44" s="13">
        <f t="shared" ca="1" si="10"/>
        <v>46387</v>
      </c>
      <c r="C44" s="274"/>
      <c r="D44" s="274"/>
      <c r="E44" s="274"/>
      <c r="F44" s="274"/>
      <c r="G44" s="274"/>
      <c r="H44" s="274"/>
      <c r="I44" s="274"/>
      <c r="J44" s="274"/>
      <c r="K44" s="274"/>
      <c r="L44" s="15">
        <f t="shared" si="11"/>
        <v>39750000</v>
      </c>
      <c r="M44" s="271">
        <f t="shared" si="8"/>
        <v>0.39750000000000002</v>
      </c>
      <c r="N44" s="271">
        <f t="shared" si="12"/>
        <v>0</v>
      </c>
      <c r="P44" s="273">
        <f t="shared" ref="P44:X44" si="27">(SUM(C$29:C44)/$L$9*100)</f>
        <v>25</v>
      </c>
      <c r="Q44" s="273">
        <f t="shared" si="27"/>
        <v>5</v>
      </c>
      <c r="R44" s="273">
        <f t="shared" si="27"/>
        <v>6</v>
      </c>
      <c r="S44" s="273">
        <f t="shared" si="27"/>
        <v>3.75</v>
      </c>
      <c r="T44" s="273">
        <f t="shared" si="27"/>
        <v>0</v>
      </c>
      <c r="U44" s="273">
        <f t="shared" si="27"/>
        <v>0</v>
      </c>
      <c r="V44" s="273">
        <f t="shared" si="27"/>
        <v>0</v>
      </c>
      <c r="W44" s="273">
        <f t="shared" si="27"/>
        <v>0</v>
      </c>
      <c r="X44" s="273">
        <f t="shared" si="27"/>
        <v>0</v>
      </c>
    </row>
    <row r="45" spans="1:24" ht="15.75" customHeight="1" x14ac:dyDescent="0.15">
      <c r="A45" s="13"/>
      <c r="B45" s="13">
        <f t="shared" ca="1" si="10"/>
        <v>46418</v>
      </c>
      <c r="C45" s="274"/>
      <c r="D45" s="274"/>
      <c r="E45" s="274"/>
      <c r="F45" s="274"/>
      <c r="G45" s="274"/>
      <c r="H45" s="274"/>
      <c r="I45" s="274"/>
      <c r="J45" s="274"/>
      <c r="K45" s="274"/>
      <c r="L45" s="15">
        <f t="shared" si="11"/>
        <v>39750000</v>
      </c>
      <c r="M45" s="271">
        <f t="shared" si="8"/>
        <v>0.39750000000000002</v>
      </c>
      <c r="N45" s="271">
        <f t="shared" si="12"/>
        <v>0</v>
      </c>
      <c r="P45" s="273">
        <f t="shared" ref="P45:X45" si="28">(SUM(C$29:C45)/$L$9*100)</f>
        <v>25</v>
      </c>
      <c r="Q45" s="273">
        <f t="shared" si="28"/>
        <v>5</v>
      </c>
      <c r="R45" s="273">
        <f t="shared" si="28"/>
        <v>6</v>
      </c>
      <c r="S45" s="273">
        <f t="shared" si="28"/>
        <v>3.75</v>
      </c>
      <c r="T45" s="273">
        <f t="shared" si="28"/>
        <v>0</v>
      </c>
      <c r="U45" s="273">
        <f t="shared" si="28"/>
        <v>0</v>
      </c>
      <c r="V45" s="273">
        <f t="shared" si="28"/>
        <v>0</v>
      </c>
      <c r="W45" s="273">
        <f t="shared" si="28"/>
        <v>0</v>
      </c>
      <c r="X45" s="273">
        <f t="shared" si="28"/>
        <v>0</v>
      </c>
    </row>
    <row r="46" spans="1:24" ht="15.75" customHeight="1" x14ac:dyDescent="0.15">
      <c r="A46" s="211" t="s">
        <v>235</v>
      </c>
      <c r="B46" s="13">
        <f t="shared" ca="1" si="10"/>
        <v>46446</v>
      </c>
      <c r="C46" s="274"/>
      <c r="D46" s="274">
        <f>$D$40</f>
        <v>2500000</v>
      </c>
      <c r="E46" s="274">
        <f>$E$31</f>
        <v>800000</v>
      </c>
      <c r="F46" s="274"/>
      <c r="G46" s="274"/>
      <c r="H46" s="274"/>
      <c r="I46" s="274"/>
      <c r="J46" s="274"/>
      <c r="K46" s="274"/>
      <c r="L46" s="15">
        <f t="shared" si="11"/>
        <v>43050000</v>
      </c>
      <c r="M46" s="271">
        <f t="shared" si="8"/>
        <v>0.43049999999999999</v>
      </c>
      <c r="N46" s="271">
        <f t="shared" si="12"/>
        <v>3.2999999999999974E-2</v>
      </c>
      <c r="P46" s="273">
        <f t="shared" ref="P46:X46" si="29">(SUM(C$29:C46)/$L$9*100)</f>
        <v>25</v>
      </c>
      <c r="Q46" s="273">
        <f t="shared" si="29"/>
        <v>7.5</v>
      </c>
      <c r="R46" s="273">
        <f t="shared" si="29"/>
        <v>6.8000000000000007</v>
      </c>
      <c r="S46" s="273">
        <f t="shared" si="29"/>
        <v>3.75</v>
      </c>
      <c r="T46" s="273">
        <f t="shared" si="29"/>
        <v>0</v>
      </c>
      <c r="U46" s="273">
        <f t="shared" si="29"/>
        <v>0</v>
      </c>
      <c r="V46" s="273">
        <f t="shared" si="29"/>
        <v>0</v>
      </c>
      <c r="W46" s="273">
        <f t="shared" si="29"/>
        <v>0</v>
      </c>
      <c r="X46" s="273">
        <f t="shared" si="29"/>
        <v>0</v>
      </c>
    </row>
    <row r="47" spans="1:24" ht="15.75" customHeight="1" x14ac:dyDescent="0.15">
      <c r="A47" s="13"/>
      <c r="B47" s="13">
        <f t="shared" ca="1" si="10"/>
        <v>46477</v>
      </c>
      <c r="C47" s="274"/>
      <c r="D47" s="274"/>
      <c r="E47" s="274"/>
      <c r="F47" s="274"/>
      <c r="G47" s="274"/>
      <c r="H47" s="274"/>
      <c r="I47" s="274"/>
      <c r="J47" s="274"/>
      <c r="K47" s="274"/>
      <c r="L47" s="15">
        <f t="shared" si="11"/>
        <v>43050000</v>
      </c>
      <c r="M47" s="271">
        <f t="shared" si="8"/>
        <v>0.43049999999999999</v>
      </c>
      <c r="N47" s="271">
        <f t="shared" si="12"/>
        <v>0</v>
      </c>
      <c r="P47" s="273">
        <f t="shared" ref="P47:X47" si="30">(SUM(C$29:C47)/$L$9*100)</f>
        <v>25</v>
      </c>
      <c r="Q47" s="273">
        <f t="shared" si="30"/>
        <v>7.5</v>
      </c>
      <c r="R47" s="273">
        <f t="shared" si="30"/>
        <v>6.8000000000000007</v>
      </c>
      <c r="S47" s="273">
        <f t="shared" si="30"/>
        <v>3.75</v>
      </c>
      <c r="T47" s="273">
        <f t="shared" si="30"/>
        <v>0</v>
      </c>
      <c r="U47" s="273">
        <f t="shared" si="30"/>
        <v>0</v>
      </c>
      <c r="V47" s="273">
        <f t="shared" si="30"/>
        <v>0</v>
      </c>
      <c r="W47" s="273">
        <f t="shared" si="30"/>
        <v>0</v>
      </c>
      <c r="X47" s="273">
        <f t="shared" si="30"/>
        <v>0</v>
      </c>
    </row>
    <row r="48" spans="1:24" ht="15.75" customHeight="1" x14ac:dyDescent="0.15">
      <c r="A48" s="13"/>
      <c r="B48" s="13">
        <f t="shared" ca="1" si="10"/>
        <v>46507</v>
      </c>
      <c r="C48" s="274"/>
      <c r="D48" s="274"/>
      <c r="E48" s="274"/>
      <c r="F48" s="274"/>
      <c r="G48" s="274"/>
      <c r="H48" s="274"/>
      <c r="I48" s="274"/>
      <c r="J48" s="274"/>
      <c r="K48" s="274"/>
      <c r="L48" s="15">
        <f t="shared" si="11"/>
        <v>43050000</v>
      </c>
      <c r="M48" s="271">
        <f t="shared" si="8"/>
        <v>0.43049999999999999</v>
      </c>
      <c r="N48" s="271">
        <f t="shared" si="12"/>
        <v>0</v>
      </c>
      <c r="P48" s="273">
        <f t="shared" ref="P48:X48" si="31">(SUM(C$29:C48)/$L$9*100)</f>
        <v>25</v>
      </c>
      <c r="Q48" s="273">
        <f t="shared" si="31"/>
        <v>7.5</v>
      </c>
      <c r="R48" s="273">
        <f t="shared" si="31"/>
        <v>6.8000000000000007</v>
      </c>
      <c r="S48" s="273">
        <f t="shared" si="31"/>
        <v>3.75</v>
      </c>
      <c r="T48" s="273">
        <f t="shared" si="31"/>
        <v>0</v>
      </c>
      <c r="U48" s="273">
        <f t="shared" si="31"/>
        <v>0</v>
      </c>
      <c r="V48" s="273">
        <f t="shared" si="31"/>
        <v>0</v>
      </c>
      <c r="W48" s="273">
        <f t="shared" si="31"/>
        <v>0</v>
      </c>
      <c r="X48" s="273">
        <f t="shared" si="31"/>
        <v>0</v>
      </c>
    </row>
    <row r="49" spans="1:24" ht="15.75" customHeight="1" x14ac:dyDescent="0.15">
      <c r="A49" s="211" t="s">
        <v>236</v>
      </c>
      <c r="B49" s="13">
        <f t="shared" ca="1" si="10"/>
        <v>46538</v>
      </c>
      <c r="C49" s="274"/>
      <c r="D49" s="274"/>
      <c r="E49" s="274">
        <f>$E$31</f>
        <v>800000</v>
      </c>
      <c r="F49" s="274"/>
      <c r="G49" s="274"/>
      <c r="H49" s="274"/>
      <c r="I49" s="274"/>
      <c r="J49" s="274"/>
      <c r="K49" s="274"/>
      <c r="L49" s="15">
        <f t="shared" si="11"/>
        <v>43850000</v>
      </c>
      <c r="M49" s="271">
        <f t="shared" si="8"/>
        <v>0.4385</v>
      </c>
      <c r="N49" s="271">
        <f t="shared" si="12"/>
        <v>8.0000000000000071E-3</v>
      </c>
      <c r="P49" s="273">
        <f t="shared" ref="P49:X49" si="32">(SUM(C$29:C49)/$L$9*100)</f>
        <v>25</v>
      </c>
      <c r="Q49" s="273">
        <f t="shared" si="32"/>
        <v>7.5</v>
      </c>
      <c r="R49" s="273">
        <f t="shared" si="32"/>
        <v>7.6</v>
      </c>
      <c r="S49" s="273">
        <f t="shared" si="32"/>
        <v>3.75</v>
      </c>
      <c r="T49" s="273">
        <f t="shared" si="32"/>
        <v>0</v>
      </c>
      <c r="U49" s="273">
        <f t="shared" si="32"/>
        <v>0</v>
      </c>
      <c r="V49" s="273">
        <f t="shared" si="32"/>
        <v>0</v>
      </c>
      <c r="W49" s="273">
        <f t="shared" si="32"/>
        <v>0</v>
      </c>
      <c r="X49" s="273">
        <f t="shared" si="32"/>
        <v>0</v>
      </c>
    </row>
    <row r="50" spans="1:24" ht="15.75" customHeight="1" x14ac:dyDescent="0.15">
      <c r="A50" s="13"/>
      <c r="B50" s="13">
        <f t="shared" ca="1" si="10"/>
        <v>46568</v>
      </c>
      <c r="C50" s="274"/>
      <c r="D50" s="274"/>
      <c r="E50" s="274"/>
      <c r="F50" s="274"/>
      <c r="G50" s="274"/>
      <c r="H50" s="274"/>
      <c r="I50" s="274"/>
      <c r="J50" s="274"/>
      <c r="K50" s="274"/>
      <c r="L50" s="15">
        <f t="shared" si="11"/>
        <v>43850000</v>
      </c>
      <c r="M50" s="271">
        <f t="shared" si="8"/>
        <v>0.4385</v>
      </c>
      <c r="N50" s="271">
        <f t="shared" si="12"/>
        <v>0</v>
      </c>
      <c r="P50" s="273">
        <f t="shared" ref="P50:X50" si="33">(SUM(C$29:C50)/$L$9*100)</f>
        <v>25</v>
      </c>
      <c r="Q50" s="273">
        <f t="shared" si="33"/>
        <v>7.5</v>
      </c>
      <c r="R50" s="273">
        <f t="shared" si="33"/>
        <v>7.6</v>
      </c>
      <c r="S50" s="273">
        <f t="shared" si="33"/>
        <v>3.75</v>
      </c>
      <c r="T50" s="273">
        <f t="shared" si="33"/>
        <v>0</v>
      </c>
      <c r="U50" s="273">
        <f t="shared" si="33"/>
        <v>0</v>
      </c>
      <c r="V50" s="273">
        <f t="shared" si="33"/>
        <v>0</v>
      </c>
      <c r="W50" s="273">
        <f t="shared" si="33"/>
        <v>0</v>
      </c>
      <c r="X50" s="273">
        <f t="shared" si="33"/>
        <v>0</v>
      </c>
    </row>
    <row r="51" spans="1:24" ht="15.75" customHeight="1" x14ac:dyDescent="0.15">
      <c r="A51" s="13"/>
      <c r="B51" s="13">
        <f t="shared" ca="1" si="10"/>
        <v>46599</v>
      </c>
      <c r="C51" s="274"/>
      <c r="D51" s="274"/>
      <c r="E51" s="274"/>
      <c r="F51" s="274"/>
      <c r="G51" s="274"/>
      <c r="H51" s="274"/>
      <c r="I51" s="274"/>
      <c r="J51" s="274"/>
      <c r="K51" s="274"/>
      <c r="L51" s="15">
        <f t="shared" si="11"/>
        <v>43850000</v>
      </c>
      <c r="M51" s="271">
        <f t="shared" si="8"/>
        <v>0.4385</v>
      </c>
      <c r="N51" s="271">
        <f t="shared" si="12"/>
        <v>0</v>
      </c>
      <c r="P51" s="273">
        <f t="shared" ref="P51:X51" si="34">(SUM(C$29:C51)/$L$9*100)</f>
        <v>25</v>
      </c>
      <c r="Q51" s="273">
        <f t="shared" si="34"/>
        <v>7.5</v>
      </c>
      <c r="R51" s="273">
        <f t="shared" si="34"/>
        <v>7.6</v>
      </c>
      <c r="S51" s="273">
        <f t="shared" si="34"/>
        <v>3.75</v>
      </c>
      <c r="T51" s="273">
        <f t="shared" si="34"/>
        <v>0</v>
      </c>
      <c r="U51" s="273">
        <f t="shared" si="34"/>
        <v>0</v>
      </c>
      <c r="V51" s="273">
        <f t="shared" si="34"/>
        <v>0</v>
      </c>
      <c r="W51" s="273">
        <f t="shared" si="34"/>
        <v>0</v>
      </c>
      <c r="X51" s="273">
        <f t="shared" si="34"/>
        <v>0</v>
      </c>
    </row>
    <row r="52" spans="1:24" ht="15.75" customHeight="1" x14ac:dyDescent="0.15">
      <c r="A52" s="211" t="s">
        <v>237</v>
      </c>
      <c r="B52" s="13">
        <f t="shared" ca="1" si="10"/>
        <v>46630</v>
      </c>
      <c r="C52" s="274"/>
      <c r="D52" s="274">
        <f>$D$40</f>
        <v>2500000</v>
      </c>
      <c r="E52" s="274">
        <f>$E$31</f>
        <v>800000</v>
      </c>
      <c r="F52" s="274"/>
      <c r="G52" s="274"/>
      <c r="H52" s="274"/>
      <c r="I52" s="274"/>
      <c r="J52" s="274"/>
      <c r="K52" s="274"/>
      <c r="L52" s="15">
        <f t="shared" si="11"/>
        <v>47150000</v>
      </c>
      <c r="M52" s="271">
        <f t="shared" si="8"/>
        <v>0.47149999999999997</v>
      </c>
      <c r="N52" s="271">
        <f t="shared" si="12"/>
        <v>3.2999999999999974E-2</v>
      </c>
      <c r="P52" s="273">
        <f t="shared" ref="P52:X52" si="35">(SUM(C$29:C52)/$L$9*100)</f>
        <v>25</v>
      </c>
      <c r="Q52" s="273">
        <f t="shared" si="35"/>
        <v>10</v>
      </c>
      <c r="R52" s="273">
        <f t="shared" si="35"/>
        <v>8.4</v>
      </c>
      <c r="S52" s="273">
        <f t="shared" si="35"/>
        <v>3.75</v>
      </c>
      <c r="T52" s="273">
        <f t="shared" si="35"/>
        <v>0</v>
      </c>
      <c r="U52" s="273">
        <f t="shared" si="35"/>
        <v>0</v>
      </c>
      <c r="V52" s="273">
        <f t="shared" si="35"/>
        <v>0</v>
      </c>
      <c r="W52" s="273">
        <f t="shared" si="35"/>
        <v>0</v>
      </c>
      <c r="X52" s="273">
        <f t="shared" si="35"/>
        <v>0</v>
      </c>
    </row>
    <row r="53" spans="1:24" ht="15.75" customHeight="1" x14ac:dyDescent="0.15">
      <c r="A53" s="13"/>
      <c r="B53" s="13">
        <f t="shared" ca="1" si="10"/>
        <v>46660</v>
      </c>
      <c r="C53" s="274"/>
      <c r="D53" s="274"/>
      <c r="E53" s="274"/>
      <c r="F53" s="274"/>
      <c r="G53" s="274"/>
      <c r="H53" s="274"/>
      <c r="I53" s="274"/>
      <c r="J53" s="274"/>
      <c r="K53" s="274"/>
      <c r="L53" s="15">
        <f t="shared" si="11"/>
        <v>47150000</v>
      </c>
      <c r="M53" s="271">
        <f t="shared" si="8"/>
        <v>0.47149999999999997</v>
      </c>
      <c r="N53" s="271">
        <f t="shared" si="12"/>
        <v>0</v>
      </c>
      <c r="P53" s="273">
        <f t="shared" ref="P53:X53" si="36">(SUM(C$29:C53)/$L$9*100)</f>
        <v>25</v>
      </c>
      <c r="Q53" s="273">
        <f t="shared" si="36"/>
        <v>10</v>
      </c>
      <c r="R53" s="273">
        <f t="shared" si="36"/>
        <v>8.4</v>
      </c>
      <c r="S53" s="273">
        <f t="shared" si="36"/>
        <v>3.75</v>
      </c>
      <c r="T53" s="273">
        <f t="shared" si="36"/>
        <v>0</v>
      </c>
      <c r="U53" s="273">
        <f t="shared" si="36"/>
        <v>0</v>
      </c>
      <c r="V53" s="273">
        <f t="shared" si="36"/>
        <v>0</v>
      </c>
      <c r="W53" s="273">
        <f t="shared" si="36"/>
        <v>0</v>
      </c>
      <c r="X53" s="273">
        <f t="shared" si="36"/>
        <v>0</v>
      </c>
    </row>
    <row r="54" spans="1:24" ht="15.75" customHeight="1" x14ac:dyDescent="0.15">
      <c r="A54" s="13"/>
      <c r="B54" s="13">
        <f t="shared" ca="1" si="10"/>
        <v>46691</v>
      </c>
      <c r="C54" s="274"/>
      <c r="D54" s="274"/>
      <c r="E54" s="274"/>
      <c r="F54" s="274"/>
      <c r="G54" s="274"/>
      <c r="H54" s="274"/>
      <c r="I54" s="274"/>
      <c r="J54" s="274"/>
      <c r="K54" s="274"/>
      <c r="L54" s="15">
        <f t="shared" si="11"/>
        <v>47150000</v>
      </c>
      <c r="M54" s="271">
        <f t="shared" si="8"/>
        <v>0.47149999999999997</v>
      </c>
      <c r="N54" s="271">
        <f t="shared" si="12"/>
        <v>0</v>
      </c>
      <c r="P54" s="273">
        <f t="shared" ref="P54:X54" si="37">(SUM(C$29:C54)/$L$9*100)</f>
        <v>25</v>
      </c>
      <c r="Q54" s="273">
        <f t="shared" si="37"/>
        <v>10</v>
      </c>
      <c r="R54" s="273">
        <f t="shared" si="37"/>
        <v>8.4</v>
      </c>
      <c r="S54" s="273">
        <f t="shared" si="37"/>
        <v>3.75</v>
      </c>
      <c r="T54" s="273">
        <f t="shared" si="37"/>
        <v>0</v>
      </c>
      <c r="U54" s="273">
        <f t="shared" si="37"/>
        <v>0</v>
      </c>
      <c r="V54" s="273">
        <f t="shared" si="37"/>
        <v>0</v>
      </c>
      <c r="W54" s="273">
        <f t="shared" si="37"/>
        <v>0</v>
      </c>
      <c r="X54" s="273">
        <f t="shared" si="37"/>
        <v>0</v>
      </c>
    </row>
    <row r="55" spans="1:24" ht="15.75" customHeight="1" x14ac:dyDescent="0.15">
      <c r="A55" s="211" t="s">
        <v>238</v>
      </c>
      <c r="B55" s="13">
        <f t="shared" ca="1" si="10"/>
        <v>46721</v>
      </c>
      <c r="C55" s="274"/>
      <c r="D55" s="274"/>
      <c r="E55" s="274">
        <f>$E$31</f>
        <v>800000</v>
      </c>
      <c r="F55" s="274"/>
      <c r="G55" s="274"/>
      <c r="H55" s="274"/>
      <c r="I55" s="274"/>
      <c r="J55" s="274"/>
      <c r="K55" s="274"/>
      <c r="L55" s="15">
        <f t="shared" si="11"/>
        <v>47950000</v>
      </c>
      <c r="M55" s="271">
        <f t="shared" si="8"/>
        <v>0.47949999999999998</v>
      </c>
      <c r="N55" s="271">
        <f t="shared" si="12"/>
        <v>8.0000000000000071E-3</v>
      </c>
      <c r="P55" s="273">
        <f t="shared" ref="P55:X55" si="38">(SUM(C$29:C55)/$L$9*100)</f>
        <v>25</v>
      </c>
      <c r="Q55" s="273">
        <f t="shared" si="38"/>
        <v>10</v>
      </c>
      <c r="R55" s="273">
        <f t="shared" si="38"/>
        <v>9.1999999999999993</v>
      </c>
      <c r="S55" s="273">
        <f t="shared" si="38"/>
        <v>3.75</v>
      </c>
      <c r="T55" s="273">
        <f t="shared" si="38"/>
        <v>0</v>
      </c>
      <c r="U55" s="273">
        <f t="shared" si="38"/>
        <v>0</v>
      </c>
      <c r="V55" s="273">
        <f t="shared" si="38"/>
        <v>0</v>
      </c>
      <c r="W55" s="273">
        <f t="shared" si="38"/>
        <v>0</v>
      </c>
      <c r="X55" s="273">
        <f t="shared" si="38"/>
        <v>0</v>
      </c>
    </row>
    <row r="56" spans="1:24" ht="15.75" customHeight="1" x14ac:dyDescent="0.15">
      <c r="A56" s="13"/>
      <c r="B56" s="13">
        <f t="shared" ca="1" si="10"/>
        <v>46752</v>
      </c>
      <c r="C56" s="274"/>
      <c r="D56" s="274"/>
      <c r="E56" s="274"/>
      <c r="F56" s="274"/>
      <c r="G56" s="274"/>
      <c r="H56" s="274"/>
      <c r="I56" s="274"/>
      <c r="J56" s="274"/>
      <c r="K56" s="274"/>
      <c r="L56" s="15">
        <f t="shared" si="11"/>
        <v>47950000</v>
      </c>
      <c r="M56" s="271">
        <f t="shared" si="8"/>
        <v>0.47949999999999998</v>
      </c>
      <c r="N56" s="271">
        <f t="shared" si="12"/>
        <v>0</v>
      </c>
      <c r="P56" s="273">
        <f t="shared" ref="P56:X56" si="39">(SUM(C$29:C56)/$L$9*100)</f>
        <v>25</v>
      </c>
      <c r="Q56" s="273">
        <f t="shared" si="39"/>
        <v>10</v>
      </c>
      <c r="R56" s="273">
        <f t="shared" si="39"/>
        <v>9.1999999999999993</v>
      </c>
      <c r="S56" s="273">
        <f t="shared" si="39"/>
        <v>3.75</v>
      </c>
      <c r="T56" s="273">
        <f t="shared" si="39"/>
        <v>0</v>
      </c>
      <c r="U56" s="273">
        <f t="shared" si="39"/>
        <v>0</v>
      </c>
      <c r="V56" s="273">
        <f t="shared" si="39"/>
        <v>0</v>
      </c>
      <c r="W56" s="273">
        <f t="shared" si="39"/>
        <v>0</v>
      </c>
      <c r="X56" s="273">
        <f t="shared" si="39"/>
        <v>0</v>
      </c>
    </row>
    <row r="57" spans="1:24" ht="15.75" customHeight="1" x14ac:dyDescent="0.15">
      <c r="A57" s="13"/>
      <c r="B57" s="13">
        <f t="shared" ca="1" si="10"/>
        <v>46783</v>
      </c>
      <c r="C57" s="274"/>
      <c r="D57" s="274"/>
      <c r="E57" s="274"/>
      <c r="F57" s="274"/>
      <c r="G57" s="274"/>
      <c r="H57" s="274"/>
      <c r="I57" s="274"/>
      <c r="J57" s="274"/>
      <c r="K57" s="274"/>
      <c r="L57" s="15">
        <f t="shared" si="11"/>
        <v>47950000</v>
      </c>
      <c r="M57" s="271">
        <f t="shared" si="8"/>
        <v>0.47949999999999998</v>
      </c>
      <c r="N57" s="271">
        <f t="shared" si="12"/>
        <v>0</v>
      </c>
      <c r="P57" s="273">
        <f t="shared" ref="P57:X57" si="40">(SUM(C$29:C57)/$L$9*100)</f>
        <v>25</v>
      </c>
      <c r="Q57" s="273">
        <f t="shared" si="40"/>
        <v>10</v>
      </c>
      <c r="R57" s="273">
        <f t="shared" si="40"/>
        <v>9.1999999999999993</v>
      </c>
      <c r="S57" s="273">
        <f t="shared" si="40"/>
        <v>3.75</v>
      </c>
      <c r="T57" s="273">
        <f t="shared" si="40"/>
        <v>0</v>
      </c>
      <c r="U57" s="273">
        <f t="shared" si="40"/>
        <v>0</v>
      </c>
      <c r="V57" s="273">
        <f t="shared" si="40"/>
        <v>0</v>
      </c>
      <c r="W57" s="273">
        <f t="shared" si="40"/>
        <v>0</v>
      </c>
      <c r="X57" s="273">
        <f t="shared" si="40"/>
        <v>0</v>
      </c>
    </row>
    <row r="58" spans="1:24" ht="15.75" customHeight="1" x14ac:dyDescent="0.15">
      <c r="A58" s="211" t="s">
        <v>239</v>
      </c>
      <c r="B58" s="13">
        <f t="shared" ca="1" si="10"/>
        <v>46812</v>
      </c>
      <c r="C58" s="274"/>
      <c r="D58" s="274"/>
      <c r="E58" s="274">
        <f>$E$31</f>
        <v>800000</v>
      </c>
      <c r="F58" s="274"/>
      <c r="G58" s="274"/>
      <c r="H58" s="274"/>
      <c r="I58" s="274"/>
      <c r="J58" s="274"/>
      <c r="K58" s="274"/>
      <c r="L58" s="15">
        <f t="shared" si="11"/>
        <v>48750000</v>
      </c>
      <c r="M58" s="271">
        <f t="shared" si="8"/>
        <v>0.48749999999999999</v>
      </c>
      <c r="N58" s="271">
        <f t="shared" si="12"/>
        <v>8.0000000000000071E-3</v>
      </c>
      <c r="P58" s="273">
        <f t="shared" ref="P58:X58" si="41">(SUM(C$29:C58)/$L$9*100)</f>
        <v>25</v>
      </c>
      <c r="Q58" s="273">
        <f t="shared" si="41"/>
        <v>10</v>
      </c>
      <c r="R58" s="273">
        <f t="shared" si="41"/>
        <v>10</v>
      </c>
      <c r="S58" s="273">
        <f t="shared" si="41"/>
        <v>3.75</v>
      </c>
      <c r="T58" s="273">
        <f t="shared" si="41"/>
        <v>0</v>
      </c>
      <c r="U58" s="273">
        <f t="shared" si="41"/>
        <v>0</v>
      </c>
      <c r="V58" s="273">
        <f t="shared" si="41"/>
        <v>0</v>
      </c>
      <c r="W58" s="273">
        <f t="shared" si="41"/>
        <v>0</v>
      </c>
      <c r="X58" s="273">
        <f t="shared" si="41"/>
        <v>0</v>
      </c>
    </row>
    <row r="59" spans="1:24" ht="15.75" customHeight="1" x14ac:dyDescent="0.15">
      <c r="A59" s="13"/>
      <c r="B59" s="13">
        <f t="shared" ca="1" si="10"/>
        <v>46843</v>
      </c>
      <c r="C59" s="274"/>
      <c r="D59" s="274"/>
      <c r="E59" s="274"/>
      <c r="F59" s="274"/>
      <c r="G59" s="274"/>
      <c r="H59" s="274"/>
      <c r="I59" s="274"/>
      <c r="J59" s="274"/>
      <c r="K59" s="274"/>
      <c r="L59" s="15">
        <f t="shared" si="11"/>
        <v>48750000</v>
      </c>
      <c r="M59" s="271">
        <f t="shared" si="8"/>
        <v>0.48749999999999999</v>
      </c>
      <c r="N59" s="271">
        <f t="shared" si="12"/>
        <v>0</v>
      </c>
      <c r="P59" s="273">
        <f t="shared" ref="P59:X59" si="42">(SUM(C$29:C59)/$L$9*100)</f>
        <v>25</v>
      </c>
      <c r="Q59" s="273">
        <f t="shared" si="42"/>
        <v>10</v>
      </c>
      <c r="R59" s="273">
        <f t="shared" si="42"/>
        <v>10</v>
      </c>
      <c r="S59" s="273">
        <f t="shared" si="42"/>
        <v>3.75</v>
      </c>
      <c r="T59" s="273">
        <f t="shared" si="42"/>
        <v>0</v>
      </c>
      <c r="U59" s="273">
        <f t="shared" si="42"/>
        <v>0</v>
      </c>
      <c r="V59" s="273">
        <f t="shared" si="42"/>
        <v>0</v>
      </c>
      <c r="W59" s="273">
        <f t="shared" si="42"/>
        <v>0</v>
      </c>
      <c r="X59" s="273">
        <f t="shared" si="42"/>
        <v>0</v>
      </c>
    </row>
    <row r="60" spans="1:24" ht="15.75" customHeight="1" x14ac:dyDescent="0.15">
      <c r="A60" s="13"/>
      <c r="B60" s="13">
        <f t="shared" ca="1" si="10"/>
        <v>46873</v>
      </c>
      <c r="C60" s="274"/>
      <c r="D60" s="274"/>
      <c r="E60" s="274"/>
      <c r="F60" s="274"/>
      <c r="G60" s="274"/>
      <c r="H60" s="274"/>
      <c r="I60" s="274"/>
      <c r="J60" s="274"/>
      <c r="K60" s="274"/>
      <c r="L60" s="15">
        <f t="shared" si="11"/>
        <v>48750000</v>
      </c>
      <c r="M60" s="271">
        <f t="shared" si="8"/>
        <v>0.48749999999999999</v>
      </c>
      <c r="N60" s="271">
        <f t="shared" si="12"/>
        <v>0</v>
      </c>
      <c r="P60" s="273">
        <f t="shared" ref="P60:X60" si="43">(SUM(C$29:C60)/$L$9*100)</f>
        <v>25</v>
      </c>
      <c r="Q60" s="273">
        <f t="shared" si="43"/>
        <v>10</v>
      </c>
      <c r="R60" s="273">
        <f t="shared" si="43"/>
        <v>10</v>
      </c>
      <c r="S60" s="273">
        <f t="shared" si="43"/>
        <v>3.75</v>
      </c>
      <c r="T60" s="273">
        <f t="shared" si="43"/>
        <v>0</v>
      </c>
      <c r="U60" s="273">
        <f t="shared" si="43"/>
        <v>0</v>
      </c>
      <c r="V60" s="273">
        <f t="shared" si="43"/>
        <v>0</v>
      </c>
      <c r="W60" s="273">
        <f t="shared" si="43"/>
        <v>0</v>
      </c>
      <c r="X60" s="273">
        <f t="shared" si="43"/>
        <v>0</v>
      </c>
    </row>
    <row r="61" spans="1:24" ht="15.75" customHeight="1" x14ac:dyDescent="0.15">
      <c r="A61" s="211" t="s">
        <v>240</v>
      </c>
      <c r="B61" s="13">
        <f t="shared" ca="1" si="10"/>
        <v>46904</v>
      </c>
      <c r="C61" s="274"/>
      <c r="D61" s="274"/>
      <c r="E61" s="274"/>
      <c r="F61" s="274"/>
      <c r="G61" s="274"/>
      <c r="H61" s="274"/>
      <c r="I61" s="274"/>
      <c r="J61" s="274"/>
      <c r="K61" s="274"/>
      <c r="L61" s="15">
        <f t="shared" si="11"/>
        <v>48750000</v>
      </c>
      <c r="M61" s="271">
        <f t="shared" si="8"/>
        <v>0.48749999999999999</v>
      </c>
      <c r="N61" s="271">
        <f t="shared" si="12"/>
        <v>0</v>
      </c>
      <c r="P61" s="273">
        <f t="shared" ref="P61:X61" si="44">(SUM(C$29:C61)/$L$9*100)</f>
        <v>25</v>
      </c>
      <c r="Q61" s="273">
        <f t="shared" si="44"/>
        <v>10</v>
      </c>
      <c r="R61" s="273">
        <f t="shared" si="44"/>
        <v>10</v>
      </c>
      <c r="S61" s="273">
        <f t="shared" si="44"/>
        <v>3.75</v>
      </c>
      <c r="T61" s="273">
        <f t="shared" si="44"/>
        <v>0</v>
      </c>
      <c r="U61" s="273">
        <f t="shared" si="44"/>
        <v>0</v>
      </c>
      <c r="V61" s="273">
        <f t="shared" si="44"/>
        <v>0</v>
      </c>
      <c r="W61" s="273">
        <f t="shared" si="44"/>
        <v>0</v>
      </c>
      <c r="X61" s="273">
        <f t="shared" si="44"/>
        <v>0</v>
      </c>
    </row>
    <row r="62" spans="1:24" ht="15.75" customHeight="1" x14ac:dyDescent="0.15">
      <c r="A62" s="13"/>
      <c r="B62" s="13">
        <f t="shared" ca="1" si="10"/>
        <v>46934</v>
      </c>
      <c r="C62" s="274"/>
      <c r="D62" s="274"/>
      <c r="E62" s="274"/>
      <c r="F62" s="274"/>
      <c r="G62" s="274"/>
      <c r="H62" s="274"/>
      <c r="I62" s="274"/>
      <c r="J62" s="274"/>
      <c r="K62" s="274"/>
      <c r="L62" s="15">
        <f t="shared" si="11"/>
        <v>48750000</v>
      </c>
      <c r="M62" s="271">
        <f t="shared" si="8"/>
        <v>0.48749999999999999</v>
      </c>
      <c r="N62" s="271">
        <f t="shared" si="12"/>
        <v>0</v>
      </c>
      <c r="P62" s="273">
        <f t="shared" ref="P62:X62" si="45">(SUM(C$29:C62)/$L$9*100)</f>
        <v>25</v>
      </c>
      <c r="Q62" s="273">
        <f t="shared" si="45"/>
        <v>10</v>
      </c>
      <c r="R62" s="273">
        <f t="shared" si="45"/>
        <v>10</v>
      </c>
      <c r="S62" s="273">
        <f t="shared" si="45"/>
        <v>3.75</v>
      </c>
      <c r="T62" s="273">
        <f t="shared" si="45"/>
        <v>0</v>
      </c>
      <c r="U62" s="273">
        <f t="shared" si="45"/>
        <v>0</v>
      </c>
      <c r="V62" s="273">
        <f t="shared" si="45"/>
        <v>0</v>
      </c>
      <c r="W62" s="273">
        <f t="shared" si="45"/>
        <v>0</v>
      </c>
      <c r="X62" s="273">
        <f t="shared" si="45"/>
        <v>0</v>
      </c>
    </row>
    <row r="63" spans="1:24" ht="15.75" customHeight="1" x14ac:dyDescent="0.15">
      <c r="A63" s="13"/>
      <c r="B63" s="13">
        <f t="shared" ca="1" si="10"/>
        <v>46965</v>
      </c>
      <c r="C63" s="274"/>
      <c r="D63" s="274"/>
      <c r="E63" s="274"/>
      <c r="F63" s="274"/>
      <c r="G63" s="274"/>
      <c r="H63" s="274"/>
      <c r="I63" s="274"/>
      <c r="J63" s="274"/>
      <c r="K63" s="274"/>
      <c r="L63" s="15">
        <f t="shared" si="11"/>
        <v>48750000</v>
      </c>
      <c r="M63" s="271">
        <f t="shared" si="8"/>
        <v>0.48749999999999999</v>
      </c>
      <c r="N63" s="271">
        <f t="shared" si="12"/>
        <v>0</v>
      </c>
      <c r="P63" s="273">
        <f t="shared" ref="P63:X63" si="46">(SUM(C$29:C63)/$L$9*100)</f>
        <v>25</v>
      </c>
      <c r="Q63" s="273">
        <f t="shared" si="46"/>
        <v>10</v>
      </c>
      <c r="R63" s="273">
        <f t="shared" si="46"/>
        <v>10</v>
      </c>
      <c r="S63" s="273">
        <f t="shared" si="46"/>
        <v>3.75</v>
      </c>
      <c r="T63" s="273">
        <f t="shared" si="46"/>
        <v>0</v>
      </c>
      <c r="U63" s="273">
        <f t="shared" si="46"/>
        <v>0</v>
      </c>
      <c r="V63" s="273">
        <f t="shared" si="46"/>
        <v>0</v>
      </c>
      <c r="W63" s="273">
        <f t="shared" si="46"/>
        <v>0</v>
      </c>
      <c r="X63" s="273">
        <f t="shared" si="46"/>
        <v>0</v>
      </c>
    </row>
    <row r="64" spans="1:24" ht="15.75" customHeight="1" x14ac:dyDescent="0.15">
      <c r="A64" s="211" t="s">
        <v>241</v>
      </c>
      <c r="B64" s="13">
        <f t="shared" ca="1" si="10"/>
        <v>46996</v>
      </c>
      <c r="C64" s="274"/>
      <c r="D64" s="274"/>
      <c r="E64" s="274"/>
      <c r="F64" s="274"/>
      <c r="G64" s="274"/>
      <c r="H64" s="274"/>
      <c r="I64" s="274"/>
      <c r="J64" s="274"/>
      <c r="K64" s="274"/>
      <c r="L64" s="15">
        <f t="shared" si="11"/>
        <v>48750000</v>
      </c>
      <c r="M64" s="271">
        <f t="shared" si="8"/>
        <v>0.48749999999999999</v>
      </c>
      <c r="N64" s="271">
        <f t="shared" si="12"/>
        <v>0</v>
      </c>
      <c r="P64" s="273">
        <f t="shared" ref="P64:X64" si="47">(SUM(C$29:C64)/$L$9*100)</f>
        <v>25</v>
      </c>
      <c r="Q64" s="273">
        <f t="shared" si="47"/>
        <v>10</v>
      </c>
      <c r="R64" s="273">
        <f t="shared" si="47"/>
        <v>10</v>
      </c>
      <c r="S64" s="273">
        <f t="shared" si="47"/>
        <v>3.75</v>
      </c>
      <c r="T64" s="273">
        <f t="shared" si="47"/>
        <v>0</v>
      </c>
      <c r="U64" s="273">
        <f t="shared" si="47"/>
        <v>0</v>
      </c>
      <c r="V64" s="273">
        <f t="shared" si="47"/>
        <v>0</v>
      </c>
      <c r="W64" s="273">
        <f t="shared" si="47"/>
        <v>0</v>
      </c>
      <c r="X64" s="273">
        <f t="shared" si="47"/>
        <v>0</v>
      </c>
    </row>
    <row r="65" spans="1:24" ht="15.75" customHeight="1" x14ac:dyDescent="0.15">
      <c r="A65" s="13"/>
      <c r="B65" s="13">
        <f t="shared" ca="1" si="10"/>
        <v>47026</v>
      </c>
      <c r="C65" s="274"/>
      <c r="D65" s="274"/>
      <c r="E65" s="274"/>
      <c r="F65" s="274"/>
      <c r="G65" s="274"/>
      <c r="H65" s="274"/>
      <c r="I65" s="274"/>
      <c r="J65" s="274"/>
      <c r="K65" s="274"/>
      <c r="L65" s="15">
        <f t="shared" si="11"/>
        <v>48750000</v>
      </c>
      <c r="M65" s="271">
        <f t="shared" si="8"/>
        <v>0.48749999999999999</v>
      </c>
      <c r="N65" s="271">
        <f t="shared" si="12"/>
        <v>0</v>
      </c>
      <c r="P65" s="273">
        <f t="shared" ref="P65:X65" si="48">(SUM(C$29:C65)/$L$9*100)</f>
        <v>25</v>
      </c>
      <c r="Q65" s="273">
        <f t="shared" si="48"/>
        <v>10</v>
      </c>
      <c r="R65" s="273">
        <f t="shared" si="48"/>
        <v>10</v>
      </c>
      <c r="S65" s="273">
        <f t="shared" si="48"/>
        <v>3.75</v>
      </c>
      <c r="T65" s="273">
        <f t="shared" si="48"/>
        <v>0</v>
      </c>
      <c r="U65" s="273">
        <f t="shared" si="48"/>
        <v>0</v>
      </c>
      <c r="V65" s="273">
        <f t="shared" si="48"/>
        <v>0</v>
      </c>
      <c r="W65" s="273">
        <f t="shared" si="48"/>
        <v>0</v>
      </c>
      <c r="X65" s="273">
        <f t="shared" si="48"/>
        <v>0</v>
      </c>
    </row>
    <row r="66" spans="1:24" ht="15.75" customHeight="1" x14ac:dyDescent="0.15">
      <c r="A66" s="13"/>
      <c r="B66" s="13">
        <f t="shared" ca="1" si="10"/>
        <v>47057</v>
      </c>
      <c r="C66" s="274"/>
      <c r="D66" s="274"/>
      <c r="E66" s="274"/>
      <c r="F66" s="274"/>
      <c r="G66" s="274"/>
      <c r="H66" s="274"/>
      <c r="I66" s="274"/>
      <c r="J66" s="274"/>
      <c r="K66" s="274"/>
      <c r="L66" s="15">
        <f t="shared" si="11"/>
        <v>48750000</v>
      </c>
      <c r="M66" s="271">
        <f t="shared" si="8"/>
        <v>0.48749999999999999</v>
      </c>
      <c r="N66" s="271">
        <f t="shared" si="12"/>
        <v>0</v>
      </c>
      <c r="P66" s="273">
        <f t="shared" ref="P66:X66" si="49">(SUM(C$29:C66)/$L$9*100)</f>
        <v>25</v>
      </c>
      <c r="Q66" s="273">
        <f t="shared" si="49"/>
        <v>10</v>
      </c>
      <c r="R66" s="273">
        <f t="shared" si="49"/>
        <v>10</v>
      </c>
      <c r="S66" s="273">
        <f t="shared" si="49"/>
        <v>3.75</v>
      </c>
      <c r="T66" s="273">
        <f t="shared" si="49"/>
        <v>0</v>
      </c>
      <c r="U66" s="273">
        <f t="shared" si="49"/>
        <v>0</v>
      </c>
      <c r="V66" s="273">
        <f t="shared" si="49"/>
        <v>0</v>
      </c>
      <c r="W66" s="273">
        <f t="shared" si="49"/>
        <v>0</v>
      </c>
      <c r="X66" s="273">
        <f t="shared" si="49"/>
        <v>0</v>
      </c>
    </row>
    <row r="67" spans="1:24" ht="15.75" customHeight="1" x14ac:dyDescent="0.15">
      <c r="A67" s="211" t="s">
        <v>242</v>
      </c>
      <c r="B67" s="13">
        <f t="shared" ca="1" si="10"/>
        <v>47087</v>
      </c>
      <c r="C67" s="274"/>
      <c r="D67" s="274"/>
      <c r="E67" s="274"/>
      <c r="F67" s="274"/>
      <c r="G67" s="274"/>
      <c r="H67" s="274"/>
      <c r="I67" s="274"/>
      <c r="J67" s="274"/>
      <c r="K67" s="274"/>
      <c r="L67" s="15">
        <f t="shared" si="11"/>
        <v>48750000</v>
      </c>
      <c r="M67" s="271">
        <f t="shared" si="8"/>
        <v>0.48749999999999999</v>
      </c>
      <c r="N67" s="271">
        <f t="shared" si="12"/>
        <v>0</v>
      </c>
      <c r="P67" s="273">
        <f t="shared" ref="P67:X67" si="50">(SUM(C$29:C67)/$L$9*100)</f>
        <v>25</v>
      </c>
      <c r="Q67" s="273">
        <f t="shared" si="50"/>
        <v>10</v>
      </c>
      <c r="R67" s="273">
        <f t="shared" si="50"/>
        <v>10</v>
      </c>
      <c r="S67" s="273">
        <f t="shared" si="50"/>
        <v>3.75</v>
      </c>
      <c r="T67" s="273">
        <f t="shared" si="50"/>
        <v>0</v>
      </c>
      <c r="U67" s="273">
        <f t="shared" si="50"/>
        <v>0</v>
      </c>
      <c r="V67" s="273">
        <f t="shared" si="50"/>
        <v>0</v>
      </c>
      <c r="W67" s="273">
        <f t="shared" si="50"/>
        <v>0</v>
      </c>
      <c r="X67" s="273">
        <f t="shared" si="50"/>
        <v>0</v>
      </c>
    </row>
    <row r="68" spans="1:24" ht="15.75" customHeight="1" x14ac:dyDescent="0.15">
      <c r="A68" s="13"/>
      <c r="B68" s="13">
        <f t="shared" ca="1" si="10"/>
        <v>47118</v>
      </c>
      <c r="C68" s="274"/>
      <c r="D68" s="274"/>
      <c r="E68" s="274"/>
      <c r="F68" s="274"/>
      <c r="G68" s="274"/>
      <c r="H68" s="274"/>
      <c r="I68" s="274"/>
      <c r="J68" s="274"/>
      <c r="K68" s="274"/>
      <c r="L68" s="15">
        <f t="shared" si="11"/>
        <v>48750000</v>
      </c>
      <c r="M68" s="271">
        <f t="shared" si="8"/>
        <v>0.48749999999999999</v>
      </c>
      <c r="N68" s="271">
        <f t="shared" si="12"/>
        <v>0</v>
      </c>
      <c r="P68" s="273">
        <f t="shared" ref="P68:X68" si="51">(SUM(C$29:C68)/$L$9*100)</f>
        <v>25</v>
      </c>
      <c r="Q68" s="273">
        <f t="shared" si="51"/>
        <v>10</v>
      </c>
      <c r="R68" s="273">
        <f t="shared" si="51"/>
        <v>10</v>
      </c>
      <c r="S68" s="273">
        <f t="shared" si="51"/>
        <v>3.75</v>
      </c>
      <c r="T68" s="273">
        <f t="shared" si="51"/>
        <v>0</v>
      </c>
      <c r="U68" s="273">
        <f t="shared" si="51"/>
        <v>0</v>
      </c>
      <c r="V68" s="273">
        <f t="shared" si="51"/>
        <v>0</v>
      </c>
      <c r="W68" s="273">
        <f t="shared" si="51"/>
        <v>0</v>
      </c>
      <c r="X68" s="273">
        <f t="shared" si="51"/>
        <v>0</v>
      </c>
    </row>
    <row r="69" spans="1:24" ht="15.75" customHeight="1" x14ac:dyDescent="0.15">
      <c r="A69" s="13"/>
      <c r="B69" s="13">
        <f t="shared" ca="1" si="10"/>
        <v>47149</v>
      </c>
      <c r="C69" s="274"/>
      <c r="D69" s="274"/>
      <c r="E69" s="274"/>
      <c r="F69" s="274"/>
      <c r="G69" s="274"/>
      <c r="H69" s="274"/>
      <c r="I69" s="274"/>
      <c r="J69" s="274"/>
      <c r="K69" s="274"/>
      <c r="L69" s="15">
        <f t="shared" si="11"/>
        <v>48750000</v>
      </c>
      <c r="M69" s="271">
        <f t="shared" si="8"/>
        <v>0.48749999999999999</v>
      </c>
      <c r="N69" s="271">
        <f t="shared" si="12"/>
        <v>0</v>
      </c>
      <c r="P69" s="273">
        <f t="shared" ref="P69:X69" si="52">(SUM(C$29:C69)/$L$9*100)</f>
        <v>25</v>
      </c>
      <c r="Q69" s="273">
        <f t="shared" si="52"/>
        <v>10</v>
      </c>
      <c r="R69" s="273">
        <f t="shared" si="52"/>
        <v>10</v>
      </c>
      <c r="S69" s="273">
        <f t="shared" si="52"/>
        <v>3.75</v>
      </c>
      <c r="T69" s="273">
        <f t="shared" si="52"/>
        <v>0</v>
      </c>
      <c r="U69" s="273">
        <f t="shared" si="52"/>
        <v>0</v>
      </c>
      <c r="V69" s="273">
        <f t="shared" si="52"/>
        <v>0</v>
      </c>
      <c r="W69" s="273">
        <f t="shared" si="52"/>
        <v>0</v>
      </c>
      <c r="X69" s="273">
        <f t="shared" si="52"/>
        <v>0</v>
      </c>
    </row>
    <row r="70" spans="1:24" ht="15.75" customHeight="1" x14ac:dyDescent="0.15">
      <c r="A70" s="211" t="s">
        <v>243</v>
      </c>
      <c r="B70" s="13">
        <f t="shared" ca="1" si="10"/>
        <v>47177</v>
      </c>
      <c r="C70" s="274"/>
      <c r="D70" s="274"/>
      <c r="E70" s="274"/>
      <c r="F70" s="274"/>
      <c r="G70" s="274"/>
      <c r="H70" s="274"/>
      <c r="I70" s="274"/>
      <c r="J70" s="274"/>
      <c r="K70" s="274"/>
      <c r="L70" s="15">
        <f t="shared" si="11"/>
        <v>48750000</v>
      </c>
      <c r="M70" s="271">
        <f t="shared" si="8"/>
        <v>0.48749999999999999</v>
      </c>
      <c r="N70" s="271">
        <f t="shared" si="12"/>
        <v>0</v>
      </c>
      <c r="P70" s="273">
        <f t="shared" ref="P70:X70" si="53">(SUM(C$29:C70)/$L$9*100)</f>
        <v>25</v>
      </c>
      <c r="Q70" s="273">
        <f t="shared" si="53"/>
        <v>10</v>
      </c>
      <c r="R70" s="273">
        <f t="shared" si="53"/>
        <v>10</v>
      </c>
      <c r="S70" s="273">
        <f t="shared" si="53"/>
        <v>3.75</v>
      </c>
      <c r="T70" s="273">
        <f t="shared" si="53"/>
        <v>0</v>
      </c>
      <c r="U70" s="273">
        <f t="shared" si="53"/>
        <v>0</v>
      </c>
      <c r="V70" s="273">
        <f t="shared" si="53"/>
        <v>0</v>
      </c>
      <c r="W70" s="273">
        <f t="shared" si="53"/>
        <v>0</v>
      </c>
      <c r="X70" s="273">
        <f t="shared" si="53"/>
        <v>0</v>
      </c>
    </row>
    <row r="71" spans="1:24" ht="15.75" customHeight="1" x14ac:dyDescent="0.15">
      <c r="A71" s="13"/>
      <c r="B71" s="13">
        <f t="shared" ca="1" si="10"/>
        <v>47208</v>
      </c>
      <c r="C71" s="274"/>
      <c r="D71" s="274"/>
      <c r="E71" s="274"/>
      <c r="F71" s="274"/>
      <c r="G71" s="274"/>
      <c r="H71" s="274"/>
      <c r="I71" s="274"/>
      <c r="J71" s="274"/>
      <c r="K71" s="274"/>
      <c r="L71" s="15">
        <f t="shared" si="11"/>
        <v>48750000</v>
      </c>
      <c r="M71" s="271">
        <f t="shared" si="8"/>
        <v>0.48749999999999999</v>
      </c>
      <c r="N71" s="271">
        <f t="shared" si="12"/>
        <v>0</v>
      </c>
      <c r="P71" s="273">
        <f t="shared" ref="P71:X71" si="54">(SUM(C$29:C71)/$L$9*100)</f>
        <v>25</v>
      </c>
      <c r="Q71" s="273">
        <f t="shared" si="54"/>
        <v>10</v>
      </c>
      <c r="R71" s="273">
        <f t="shared" si="54"/>
        <v>10</v>
      </c>
      <c r="S71" s="273">
        <f t="shared" si="54"/>
        <v>3.75</v>
      </c>
      <c r="T71" s="273">
        <f t="shared" si="54"/>
        <v>0</v>
      </c>
      <c r="U71" s="273">
        <f t="shared" si="54"/>
        <v>0</v>
      </c>
      <c r="V71" s="273">
        <f t="shared" si="54"/>
        <v>0</v>
      </c>
      <c r="W71" s="273">
        <f t="shared" si="54"/>
        <v>0</v>
      </c>
      <c r="X71" s="273">
        <f t="shared" si="54"/>
        <v>0</v>
      </c>
    </row>
    <row r="72" spans="1:24" ht="15.75" customHeight="1" x14ac:dyDescent="0.15">
      <c r="A72" s="13"/>
      <c r="B72" s="13">
        <f t="shared" ca="1" si="10"/>
        <v>47238</v>
      </c>
      <c r="C72" s="274"/>
      <c r="D72" s="274"/>
      <c r="E72" s="274"/>
      <c r="F72" s="274"/>
      <c r="G72" s="274"/>
      <c r="H72" s="274"/>
      <c r="I72" s="274"/>
      <c r="J72" s="274"/>
      <c r="K72" s="274"/>
      <c r="L72" s="15">
        <f t="shared" si="11"/>
        <v>48750000</v>
      </c>
      <c r="M72" s="271">
        <f t="shared" si="8"/>
        <v>0.48749999999999999</v>
      </c>
      <c r="N72" s="271">
        <f t="shared" si="12"/>
        <v>0</v>
      </c>
      <c r="P72" s="273">
        <f t="shared" ref="P72:X72" si="55">(SUM(C$29:C72)/$L$9*100)</f>
        <v>25</v>
      </c>
      <c r="Q72" s="273">
        <f t="shared" si="55"/>
        <v>10</v>
      </c>
      <c r="R72" s="273">
        <f t="shared" si="55"/>
        <v>10</v>
      </c>
      <c r="S72" s="273">
        <f t="shared" si="55"/>
        <v>3.75</v>
      </c>
      <c r="T72" s="273">
        <f t="shared" si="55"/>
        <v>0</v>
      </c>
      <c r="U72" s="273">
        <f t="shared" si="55"/>
        <v>0</v>
      </c>
      <c r="V72" s="273">
        <f t="shared" si="55"/>
        <v>0</v>
      </c>
      <c r="W72" s="273">
        <f t="shared" si="55"/>
        <v>0</v>
      </c>
      <c r="X72" s="273">
        <f t="shared" si="55"/>
        <v>0</v>
      </c>
    </row>
    <row r="73" spans="1:24" ht="15.75" customHeight="1" x14ac:dyDescent="0.15">
      <c r="A73" s="211" t="s">
        <v>244</v>
      </c>
      <c r="B73" s="13">
        <f t="shared" ca="1" si="10"/>
        <v>47269</v>
      </c>
      <c r="C73" s="274"/>
      <c r="D73" s="274"/>
      <c r="E73" s="274"/>
      <c r="F73" s="274"/>
      <c r="G73" s="274"/>
      <c r="H73" s="274"/>
      <c r="I73" s="274"/>
      <c r="J73" s="274"/>
      <c r="K73" s="274"/>
      <c r="L73" s="15">
        <f t="shared" si="11"/>
        <v>48750000</v>
      </c>
      <c r="M73" s="271">
        <f t="shared" si="8"/>
        <v>0.48749999999999999</v>
      </c>
      <c r="N73" s="271">
        <f t="shared" si="12"/>
        <v>0</v>
      </c>
      <c r="P73" s="273">
        <f t="shared" ref="P73:X73" si="56">(SUM(C$29:C73)/$L$9*100)</f>
        <v>25</v>
      </c>
      <c r="Q73" s="273">
        <f t="shared" si="56"/>
        <v>10</v>
      </c>
      <c r="R73" s="273">
        <f t="shared" si="56"/>
        <v>10</v>
      </c>
      <c r="S73" s="273">
        <f t="shared" si="56"/>
        <v>3.75</v>
      </c>
      <c r="T73" s="273">
        <f t="shared" si="56"/>
        <v>0</v>
      </c>
      <c r="U73" s="273">
        <f t="shared" si="56"/>
        <v>0</v>
      </c>
      <c r="V73" s="273">
        <f t="shared" si="56"/>
        <v>0</v>
      </c>
      <c r="W73" s="273">
        <f t="shared" si="56"/>
        <v>0</v>
      </c>
      <c r="X73" s="273">
        <f t="shared" si="56"/>
        <v>0</v>
      </c>
    </row>
    <row r="74" spans="1:24" ht="15.75" customHeight="1" x14ac:dyDescent="0.15">
      <c r="A74" s="13"/>
      <c r="B74" s="13">
        <f t="shared" ca="1" si="10"/>
        <v>47299</v>
      </c>
      <c r="C74" s="274"/>
      <c r="D74" s="274"/>
      <c r="E74" s="274"/>
      <c r="F74" s="274"/>
      <c r="G74" s="274"/>
      <c r="H74" s="274"/>
      <c r="I74" s="274"/>
      <c r="J74" s="274"/>
      <c r="K74" s="274"/>
      <c r="L74" s="15">
        <f t="shared" si="11"/>
        <v>48750000</v>
      </c>
      <c r="M74" s="271">
        <f t="shared" si="8"/>
        <v>0.48749999999999999</v>
      </c>
      <c r="N74" s="271">
        <f t="shared" si="12"/>
        <v>0</v>
      </c>
      <c r="P74" s="273">
        <f t="shared" ref="P74:X74" si="57">(SUM(C$29:C74)/$L$9*100)</f>
        <v>25</v>
      </c>
      <c r="Q74" s="273">
        <f t="shared" si="57"/>
        <v>10</v>
      </c>
      <c r="R74" s="273">
        <f t="shared" si="57"/>
        <v>10</v>
      </c>
      <c r="S74" s="273">
        <f t="shared" si="57"/>
        <v>3.75</v>
      </c>
      <c r="T74" s="273">
        <f t="shared" si="57"/>
        <v>0</v>
      </c>
      <c r="U74" s="273">
        <f t="shared" si="57"/>
        <v>0</v>
      </c>
      <c r="V74" s="273">
        <f t="shared" si="57"/>
        <v>0</v>
      </c>
      <c r="W74" s="273">
        <f t="shared" si="57"/>
        <v>0</v>
      </c>
      <c r="X74" s="273">
        <f t="shared" si="57"/>
        <v>0</v>
      </c>
    </row>
    <row r="75" spans="1:24" ht="15.75" customHeight="1" x14ac:dyDescent="0.15">
      <c r="A75" s="13"/>
      <c r="B75" s="13">
        <f t="shared" ca="1" si="10"/>
        <v>47330</v>
      </c>
      <c r="C75" s="274"/>
      <c r="D75" s="274"/>
      <c r="E75" s="274"/>
      <c r="F75" s="274"/>
      <c r="G75" s="274"/>
      <c r="H75" s="274"/>
      <c r="I75" s="274"/>
      <c r="J75" s="274"/>
      <c r="K75" s="274"/>
      <c r="L75" s="15">
        <f t="shared" si="11"/>
        <v>48750000</v>
      </c>
      <c r="M75" s="271">
        <f t="shared" si="8"/>
        <v>0.48749999999999999</v>
      </c>
      <c r="N75" s="271">
        <f t="shared" si="12"/>
        <v>0</v>
      </c>
      <c r="P75" s="273">
        <f t="shared" ref="P75:X75" si="58">(SUM(C$29:C75)/$L$9*100)</f>
        <v>25</v>
      </c>
      <c r="Q75" s="273">
        <f t="shared" si="58"/>
        <v>10</v>
      </c>
      <c r="R75" s="273">
        <f t="shared" si="58"/>
        <v>10</v>
      </c>
      <c r="S75" s="273">
        <f t="shared" si="58"/>
        <v>3.75</v>
      </c>
      <c r="T75" s="273">
        <f t="shared" si="58"/>
        <v>0</v>
      </c>
      <c r="U75" s="273">
        <f t="shared" si="58"/>
        <v>0</v>
      </c>
      <c r="V75" s="273">
        <f t="shared" si="58"/>
        <v>0</v>
      </c>
      <c r="W75" s="273">
        <f t="shared" si="58"/>
        <v>0</v>
      </c>
      <c r="X75" s="273">
        <f t="shared" si="58"/>
        <v>0</v>
      </c>
    </row>
    <row r="76" spans="1:24" ht="15.75" customHeight="1" x14ac:dyDescent="0.15">
      <c r="A76" s="211" t="s">
        <v>245</v>
      </c>
      <c r="B76" s="13">
        <f t="shared" ca="1" si="10"/>
        <v>47361</v>
      </c>
      <c r="C76" s="274"/>
      <c r="D76" s="274"/>
      <c r="E76" s="274"/>
      <c r="F76" s="274"/>
      <c r="G76" s="274"/>
      <c r="H76" s="274"/>
      <c r="I76" s="274"/>
      <c r="J76" s="274"/>
      <c r="K76" s="274"/>
      <c r="L76" s="15">
        <f t="shared" si="11"/>
        <v>48750000</v>
      </c>
      <c r="M76" s="271">
        <f t="shared" si="8"/>
        <v>0.48749999999999999</v>
      </c>
      <c r="N76" s="271">
        <f t="shared" si="12"/>
        <v>0</v>
      </c>
      <c r="P76" s="273">
        <f t="shared" ref="P76:X76" si="59">(SUM(C$29:C76)/$L$9*100)</f>
        <v>25</v>
      </c>
      <c r="Q76" s="273">
        <f t="shared" si="59"/>
        <v>10</v>
      </c>
      <c r="R76" s="273">
        <f t="shared" si="59"/>
        <v>10</v>
      </c>
      <c r="S76" s="273">
        <f t="shared" si="59"/>
        <v>3.75</v>
      </c>
      <c r="T76" s="273">
        <f t="shared" si="59"/>
        <v>0</v>
      </c>
      <c r="U76" s="273">
        <f t="shared" si="59"/>
        <v>0</v>
      </c>
      <c r="V76" s="273">
        <f t="shared" si="59"/>
        <v>0</v>
      </c>
      <c r="W76" s="273">
        <f t="shared" si="59"/>
        <v>0</v>
      </c>
      <c r="X76" s="273">
        <f t="shared" si="59"/>
        <v>0</v>
      </c>
    </row>
    <row r="77" spans="1:24" ht="15.75" customHeight="1" x14ac:dyDescent="0.15">
      <c r="A77" s="13"/>
      <c r="B77" s="13">
        <f t="shared" ca="1" si="10"/>
        <v>47391</v>
      </c>
      <c r="C77" s="274"/>
      <c r="D77" s="274"/>
      <c r="E77" s="274"/>
      <c r="F77" s="274"/>
      <c r="G77" s="274"/>
      <c r="H77" s="274"/>
      <c r="I77" s="274"/>
      <c r="J77" s="274"/>
      <c r="K77" s="274"/>
      <c r="L77" s="15">
        <f t="shared" si="11"/>
        <v>48750000</v>
      </c>
      <c r="M77" s="271">
        <f t="shared" si="8"/>
        <v>0.48749999999999999</v>
      </c>
      <c r="N77" s="271">
        <f t="shared" si="12"/>
        <v>0</v>
      </c>
      <c r="P77" s="273">
        <f t="shared" ref="P77:X77" si="60">(SUM(C$29:C77)/$L$9*100)</f>
        <v>25</v>
      </c>
      <c r="Q77" s="273">
        <f t="shared" si="60"/>
        <v>10</v>
      </c>
      <c r="R77" s="273">
        <f t="shared" si="60"/>
        <v>10</v>
      </c>
      <c r="S77" s="273">
        <f t="shared" si="60"/>
        <v>3.75</v>
      </c>
      <c r="T77" s="273">
        <f t="shared" si="60"/>
        <v>0</v>
      </c>
      <c r="U77" s="273">
        <f t="shared" si="60"/>
        <v>0</v>
      </c>
      <c r="V77" s="273">
        <f t="shared" si="60"/>
        <v>0</v>
      </c>
      <c r="W77" s="273">
        <f t="shared" si="60"/>
        <v>0</v>
      </c>
      <c r="X77" s="273">
        <f t="shared" si="60"/>
        <v>0</v>
      </c>
    </row>
    <row r="78" spans="1:24" ht="15.75" customHeight="1" x14ac:dyDescent="0.15">
      <c r="A78" s="13"/>
      <c r="B78" s="13">
        <f t="shared" ca="1" si="10"/>
        <v>47422</v>
      </c>
      <c r="C78" s="274"/>
      <c r="D78" s="274"/>
      <c r="E78" s="274"/>
      <c r="F78" s="274"/>
      <c r="G78" s="274"/>
      <c r="H78" s="274"/>
      <c r="I78" s="274"/>
      <c r="J78" s="274"/>
      <c r="K78" s="274"/>
      <c r="L78" s="15">
        <f t="shared" si="11"/>
        <v>48750000</v>
      </c>
      <c r="M78" s="271">
        <f t="shared" si="8"/>
        <v>0.48749999999999999</v>
      </c>
      <c r="N78" s="271">
        <f t="shared" si="12"/>
        <v>0</v>
      </c>
      <c r="P78" s="273">
        <f t="shared" ref="P78:X78" si="61">(SUM(C$29:C78)/$L$9*100)</f>
        <v>25</v>
      </c>
      <c r="Q78" s="273">
        <f t="shared" si="61"/>
        <v>10</v>
      </c>
      <c r="R78" s="273">
        <f t="shared" si="61"/>
        <v>10</v>
      </c>
      <c r="S78" s="273">
        <f t="shared" si="61"/>
        <v>3.75</v>
      </c>
      <c r="T78" s="273">
        <f t="shared" si="61"/>
        <v>0</v>
      </c>
      <c r="U78" s="273">
        <f t="shared" si="61"/>
        <v>0</v>
      </c>
      <c r="V78" s="273">
        <f t="shared" si="61"/>
        <v>0</v>
      </c>
      <c r="W78" s="273">
        <f t="shared" si="61"/>
        <v>0</v>
      </c>
      <c r="X78" s="273">
        <f t="shared" si="61"/>
        <v>0</v>
      </c>
    </row>
    <row r="79" spans="1:24" ht="15.75" customHeight="1" x14ac:dyDescent="0.15">
      <c r="A79" s="211" t="s">
        <v>246</v>
      </c>
      <c r="B79" s="13">
        <f t="shared" ca="1" si="10"/>
        <v>47452</v>
      </c>
      <c r="C79" s="274"/>
      <c r="D79" s="274"/>
      <c r="E79" s="274"/>
      <c r="F79" s="274"/>
      <c r="G79" s="274"/>
      <c r="H79" s="274"/>
      <c r="I79" s="274"/>
      <c r="J79" s="274"/>
      <c r="K79" s="274"/>
      <c r="L79" s="15">
        <f t="shared" si="11"/>
        <v>48750000</v>
      </c>
      <c r="M79" s="271">
        <f t="shared" si="8"/>
        <v>0.48749999999999999</v>
      </c>
      <c r="N79" s="271">
        <f t="shared" si="12"/>
        <v>0</v>
      </c>
      <c r="P79" s="273">
        <f t="shared" ref="P79:X79" si="62">(SUM(C$29:C79)/$L$9*100)</f>
        <v>25</v>
      </c>
      <c r="Q79" s="273">
        <f t="shared" si="62"/>
        <v>10</v>
      </c>
      <c r="R79" s="273">
        <f t="shared" si="62"/>
        <v>10</v>
      </c>
      <c r="S79" s="273">
        <f t="shared" si="62"/>
        <v>3.75</v>
      </c>
      <c r="T79" s="273">
        <f t="shared" si="62"/>
        <v>0</v>
      </c>
      <c r="U79" s="273">
        <f t="shared" si="62"/>
        <v>0</v>
      </c>
      <c r="V79" s="273">
        <f t="shared" si="62"/>
        <v>0</v>
      </c>
      <c r="W79" s="273">
        <f t="shared" si="62"/>
        <v>0</v>
      </c>
      <c r="X79" s="273">
        <f t="shared" si="62"/>
        <v>0</v>
      </c>
    </row>
    <row r="80" spans="1:24" ht="15.75" customHeight="1" x14ac:dyDescent="0.15">
      <c r="A80" s="13"/>
      <c r="B80" s="13">
        <f t="shared" ca="1" si="10"/>
        <v>47483</v>
      </c>
      <c r="C80" s="274"/>
      <c r="D80" s="274"/>
      <c r="E80" s="274"/>
      <c r="F80" s="274"/>
      <c r="G80" s="274"/>
      <c r="H80" s="274"/>
      <c r="I80" s="274"/>
      <c r="J80" s="274"/>
      <c r="K80" s="274"/>
      <c r="L80" s="15">
        <f t="shared" si="11"/>
        <v>48750000</v>
      </c>
      <c r="M80" s="271">
        <f t="shared" si="8"/>
        <v>0.48749999999999999</v>
      </c>
      <c r="N80" s="271">
        <f t="shared" si="12"/>
        <v>0</v>
      </c>
      <c r="P80" s="273">
        <f t="shared" ref="P80:X80" si="63">(SUM(C$29:C80)/$L$9*100)</f>
        <v>25</v>
      </c>
      <c r="Q80" s="273">
        <f t="shared" si="63"/>
        <v>10</v>
      </c>
      <c r="R80" s="273">
        <f t="shared" si="63"/>
        <v>10</v>
      </c>
      <c r="S80" s="273">
        <f t="shared" si="63"/>
        <v>3.75</v>
      </c>
      <c r="T80" s="273">
        <f t="shared" si="63"/>
        <v>0</v>
      </c>
      <c r="U80" s="273">
        <f t="shared" si="63"/>
        <v>0</v>
      </c>
      <c r="V80" s="273">
        <f t="shared" si="63"/>
        <v>0</v>
      </c>
      <c r="W80" s="273">
        <f t="shared" si="63"/>
        <v>0</v>
      </c>
      <c r="X80" s="273">
        <f t="shared" si="63"/>
        <v>0</v>
      </c>
    </row>
    <row r="81" spans="1:24" ht="15.75" customHeight="1" x14ac:dyDescent="0.15">
      <c r="A81" s="13"/>
      <c r="B81" s="13">
        <f t="shared" ca="1" si="10"/>
        <v>47514</v>
      </c>
      <c r="C81" s="274"/>
      <c r="D81" s="274"/>
      <c r="E81" s="274"/>
      <c r="F81" s="274"/>
      <c r="G81" s="274"/>
      <c r="H81" s="274"/>
      <c r="I81" s="274"/>
      <c r="J81" s="274"/>
      <c r="K81" s="274"/>
      <c r="L81" s="15">
        <f t="shared" si="11"/>
        <v>48750000</v>
      </c>
      <c r="M81" s="271">
        <f t="shared" si="8"/>
        <v>0.48749999999999999</v>
      </c>
      <c r="N81" s="271">
        <f t="shared" si="12"/>
        <v>0</v>
      </c>
      <c r="P81" s="273">
        <f t="shared" ref="P81:X81" si="64">(SUM(C$29:C81)/$L$9*100)</f>
        <v>25</v>
      </c>
      <c r="Q81" s="273">
        <f t="shared" si="64"/>
        <v>10</v>
      </c>
      <c r="R81" s="273">
        <f t="shared" si="64"/>
        <v>10</v>
      </c>
      <c r="S81" s="273">
        <f t="shared" si="64"/>
        <v>3.75</v>
      </c>
      <c r="T81" s="273">
        <f t="shared" si="64"/>
        <v>0</v>
      </c>
      <c r="U81" s="273">
        <f t="shared" si="64"/>
        <v>0</v>
      </c>
      <c r="V81" s="273">
        <f t="shared" si="64"/>
        <v>0</v>
      </c>
      <c r="W81" s="273">
        <f t="shared" si="64"/>
        <v>0</v>
      </c>
      <c r="X81" s="273">
        <f t="shared" si="64"/>
        <v>0</v>
      </c>
    </row>
    <row r="82" spans="1:24" ht="15.75" customHeight="1" x14ac:dyDescent="0.15">
      <c r="A82" s="211" t="s">
        <v>247</v>
      </c>
      <c r="B82" s="13">
        <f t="shared" ca="1" si="10"/>
        <v>47542</v>
      </c>
      <c r="C82" s="274"/>
      <c r="D82" s="274"/>
      <c r="E82" s="274"/>
      <c r="F82" s="274"/>
      <c r="G82" s="274"/>
      <c r="H82" s="274"/>
      <c r="I82" s="274"/>
      <c r="J82" s="274"/>
      <c r="K82" s="274"/>
      <c r="L82" s="15">
        <f t="shared" si="11"/>
        <v>48750000</v>
      </c>
      <c r="M82" s="271">
        <f t="shared" si="8"/>
        <v>0.48749999999999999</v>
      </c>
      <c r="N82" s="271">
        <f t="shared" si="12"/>
        <v>0</v>
      </c>
      <c r="P82" s="273">
        <f t="shared" ref="P82:X82" si="65">(SUM(C$29:C82)/$L$9*100)</f>
        <v>25</v>
      </c>
      <c r="Q82" s="273">
        <f t="shared" si="65"/>
        <v>10</v>
      </c>
      <c r="R82" s="273">
        <f t="shared" si="65"/>
        <v>10</v>
      </c>
      <c r="S82" s="273">
        <f t="shared" si="65"/>
        <v>3.75</v>
      </c>
      <c r="T82" s="273">
        <f t="shared" si="65"/>
        <v>0</v>
      </c>
      <c r="U82" s="273">
        <f t="shared" si="65"/>
        <v>0</v>
      </c>
      <c r="V82" s="273">
        <f t="shared" si="65"/>
        <v>0</v>
      </c>
      <c r="W82" s="273">
        <f t="shared" si="65"/>
        <v>0</v>
      </c>
      <c r="X82" s="273">
        <f t="shared" si="65"/>
        <v>0</v>
      </c>
    </row>
    <row r="83" spans="1:24" ht="15.75" customHeight="1" x14ac:dyDescent="0.15">
      <c r="A83" s="13"/>
      <c r="B83" s="13">
        <f t="shared" ca="1" si="10"/>
        <v>47573</v>
      </c>
      <c r="C83" s="274"/>
      <c r="D83" s="274"/>
      <c r="E83" s="274"/>
      <c r="F83" s="274"/>
      <c r="G83" s="274"/>
      <c r="H83" s="274"/>
      <c r="I83" s="274"/>
      <c r="J83" s="274"/>
      <c r="K83" s="274"/>
      <c r="L83" s="15">
        <f t="shared" si="11"/>
        <v>48750000</v>
      </c>
      <c r="M83" s="271">
        <f t="shared" si="8"/>
        <v>0.48749999999999999</v>
      </c>
      <c r="N83" s="271">
        <f t="shared" si="12"/>
        <v>0</v>
      </c>
      <c r="P83" s="273">
        <f t="shared" ref="P83:X83" si="66">(SUM(C$29:C83)/$L$9*100)</f>
        <v>25</v>
      </c>
      <c r="Q83" s="273">
        <f t="shared" si="66"/>
        <v>10</v>
      </c>
      <c r="R83" s="273">
        <f t="shared" si="66"/>
        <v>10</v>
      </c>
      <c r="S83" s="273">
        <f t="shared" si="66"/>
        <v>3.75</v>
      </c>
      <c r="T83" s="273">
        <f t="shared" si="66"/>
        <v>0</v>
      </c>
      <c r="U83" s="273">
        <f t="shared" si="66"/>
        <v>0</v>
      </c>
      <c r="V83" s="273">
        <f t="shared" si="66"/>
        <v>0</v>
      </c>
      <c r="W83" s="273">
        <f t="shared" si="66"/>
        <v>0</v>
      </c>
      <c r="X83" s="273">
        <f t="shared" si="66"/>
        <v>0</v>
      </c>
    </row>
    <row r="84" spans="1:24" ht="15.75" customHeight="1" x14ac:dyDescent="0.15">
      <c r="A84" s="13"/>
      <c r="B84" s="13">
        <f t="shared" ca="1" si="10"/>
        <v>47603</v>
      </c>
      <c r="C84" s="274"/>
      <c r="D84" s="274"/>
      <c r="E84" s="274"/>
      <c r="F84" s="274"/>
      <c r="G84" s="274"/>
      <c r="H84" s="274"/>
      <c r="I84" s="274"/>
      <c r="J84" s="274"/>
      <c r="K84" s="274"/>
      <c r="L84" s="15">
        <f t="shared" si="11"/>
        <v>48750000</v>
      </c>
      <c r="M84" s="271">
        <f t="shared" si="8"/>
        <v>0.48749999999999999</v>
      </c>
      <c r="N84" s="271">
        <f t="shared" si="12"/>
        <v>0</v>
      </c>
      <c r="P84" s="273">
        <f t="shared" ref="P84:X84" si="67">(SUM(C$29:C84)/$L$9*100)</f>
        <v>25</v>
      </c>
      <c r="Q84" s="273">
        <f t="shared" si="67"/>
        <v>10</v>
      </c>
      <c r="R84" s="273">
        <f t="shared" si="67"/>
        <v>10</v>
      </c>
      <c r="S84" s="273">
        <f t="shared" si="67"/>
        <v>3.75</v>
      </c>
      <c r="T84" s="273">
        <f t="shared" si="67"/>
        <v>0</v>
      </c>
      <c r="U84" s="273">
        <f t="shared" si="67"/>
        <v>0</v>
      </c>
      <c r="V84" s="273">
        <f t="shared" si="67"/>
        <v>0</v>
      </c>
      <c r="W84" s="273">
        <f t="shared" si="67"/>
        <v>0</v>
      </c>
      <c r="X84" s="273">
        <f t="shared" si="67"/>
        <v>0</v>
      </c>
    </row>
    <row r="85" spans="1:24" ht="15.75" customHeight="1" x14ac:dyDescent="0.15">
      <c r="A85" s="211" t="s">
        <v>248</v>
      </c>
      <c r="B85" s="13">
        <f t="shared" ca="1" si="10"/>
        <v>47634</v>
      </c>
      <c r="C85" s="274"/>
      <c r="D85" s="274"/>
      <c r="E85" s="274"/>
      <c r="F85" s="274"/>
      <c r="G85" s="274"/>
      <c r="H85" s="274"/>
      <c r="I85" s="274"/>
      <c r="J85" s="274"/>
      <c r="K85" s="274"/>
      <c r="L85" s="15">
        <f t="shared" si="11"/>
        <v>48750000</v>
      </c>
      <c r="M85" s="271">
        <f t="shared" si="8"/>
        <v>0.48749999999999999</v>
      </c>
      <c r="N85" s="271">
        <f t="shared" si="12"/>
        <v>0</v>
      </c>
      <c r="P85" s="273">
        <f t="shared" ref="P85:X85" si="68">(SUM(C$29:C85)/$L$9*100)</f>
        <v>25</v>
      </c>
      <c r="Q85" s="273">
        <f t="shared" si="68"/>
        <v>10</v>
      </c>
      <c r="R85" s="273">
        <f t="shared" si="68"/>
        <v>10</v>
      </c>
      <c r="S85" s="273">
        <f t="shared" si="68"/>
        <v>3.75</v>
      </c>
      <c r="T85" s="273">
        <f t="shared" si="68"/>
        <v>0</v>
      </c>
      <c r="U85" s="273">
        <f t="shared" si="68"/>
        <v>0</v>
      </c>
      <c r="V85" s="273">
        <f t="shared" si="68"/>
        <v>0</v>
      </c>
      <c r="W85" s="273">
        <f t="shared" si="68"/>
        <v>0</v>
      </c>
      <c r="X85" s="273">
        <f t="shared" si="68"/>
        <v>0</v>
      </c>
    </row>
    <row r="86" spans="1:24" ht="15.75" customHeight="1" x14ac:dyDescent="0.15">
      <c r="A86" s="13"/>
      <c r="B86" s="13">
        <f t="shared" ca="1" si="10"/>
        <v>47664</v>
      </c>
      <c r="C86" s="274"/>
      <c r="D86" s="274"/>
      <c r="E86" s="274"/>
      <c r="F86" s="274"/>
      <c r="G86" s="274"/>
      <c r="H86" s="274"/>
      <c r="I86" s="274"/>
      <c r="J86" s="274"/>
      <c r="K86" s="274"/>
      <c r="L86" s="15">
        <f t="shared" si="11"/>
        <v>48750000</v>
      </c>
      <c r="M86" s="271">
        <f t="shared" si="8"/>
        <v>0.48749999999999999</v>
      </c>
      <c r="N86" s="271">
        <f t="shared" si="12"/>
        <v>0</v>
      </c>
      <c r="P86" s="273">
        <f t="shared" ref="P86:X86" si="69">(SUM(C$29:C86)/$L$9*100)</f>
        <v>25</v>
      </c>
      <c r="Q86" s="273">
        <f t="shared" si="69"/>
        <v>10</v>
      </c>
      <c r="R86" s="273">
        <f t="shared" si="69"/>
        <v>10</v>
      </c>
      <c r="S86" s="273">
        <f t="shared" si="69"/>
        <v>3.75</v>
      </c>
      <c r="T86" s="273">
        <f t="shared" si="69"/>
        <v>0</v>
      </c>
      <c r="U86" s="273">
        <f t="shared" si="69"/>
        <v>0</v>
      </c>
      <c r="V86" s="273">
        <f t="shared" si="69"/>
        <v>0</v>
      </c>
      <c r="W86" s="273">
        <f t="shared" si="69"/>
        <v>0</v>
      </c>
      <c r="X86" s="273">
        <f t="shared" si="69"/>
        <v>0</v>
      </c>
    </row>
    <row r="87" spans="1:24" ht="15.75" customHeight="1" x14ac:dyDescent="0.15">
      <c r="A87" s="13"/>
      <c r="B87" s="13">
        <f t="shared" ca="1" si="10"/>
        <v>47695</v>
      </c>
      <c r="C87" s="274"/>
      <c r="D87" s="274"/>
      <c r="E87" s="274"/>
      <c r="F87" s="274"/>
      <c r="G87" s="274"/>
      <c r="H87" s="274"/>
      <c r="I87" s="274"/>
      <c r="J87" s="274"/>
      <c r="K87" s="274"/>
      <c r="L87" s="15"/>
      <c r="M87" s="17"/>
      <c r="N87" s="17"/>
      <c r="P87" s="273"/>
      <c r="Q87" s="273"/>
      <c r="R87" s="273"/>
      <c r="S87" s="273"/>
      <c r="T87" s="273"/>
      <c r="U87" s="273"/>
      <c r="V87" s="273"/>
      <c r="W87" s="273"/>
      <c r="X87" s="273"/>
    </row>
    <row r="88" spans="1:24" ht="15.75" customHeight="1" x14ac:dyDescent="0.15">
      <c r="A88" s="211" t="s">
        <v>249</v>
      </c>
      <c r="B88" s="13">
        <f t="shared" ca="1" si="10"/>
        <v>47726</v>
      </c>
      <c r="C88" s="274"/>
      <c r="D88" s="274"/>
      <c r="E88" s="274"/>
      <c r="F88" s="274"/>
      <c r="G88" s="274"/>
      <c r="H88" s="274"/>
      <c r="I88" s="274"/>
      <c r="J88" s="274"/>
      <c r="K88" s="274"/>
      <c r="L88" s="15"/>
      <c r="M88" s="17"/>
      <c r="N88" s="17"/>
      <c r="P88" s="273"/>
      <c r="Q88" s="273"/>
      <c r="R88" s="273"/>
      <c r="S88" s="273"/>
      <c r="T88" s="273"/>
      <c r="U88" s="273"/>
      <c r="V88" s="273"/>
      <c r="W88" s="273"/>
      <c r="X88" s="273"/>
    </row>
    <row r="89" spans="1:24" ht="15.75" customHeight="1" x14ac:dyDescent="0.15">
      <c r="A89" s="4"/>
      <c r="B89" s="275" t="s">
        <v>14</v>
      </c>
      <c r="C89" s="276">
        <f t="shared" ref="C89:K89" si="70">SUM(C29:C88)</f>
        <v>25000000</v>
      </c>
      <c r="D89" s="276">
        <f t="shared" si="70"/>
        <v>10000000</v>
      </c>
      <c r="E89" s="276">
        <f t="shared" si="70"/>
        <v>10000000</v>
      </c>
      <c r="F89" s="276">
        <f t="shared" si="70"/>
        <v>3750000</v>
      </c>
      <c r="G89" s="276">
        <f t="shared" si="70"/>
        <v>0</v>
      </c>
      <c r="H89" s="276">
        <f t="shared" si="70"/>
        <v>0</v>
      </c>
      <c r="I89" s="276">
        <f t="shared" si="70"/>
        <v>0</v>
      </c>
      <c r="J89" s="276">
        <f t="shared" si="70"/>
        <v>0</v>
      </c>
      <c r="K89" s="276">
        <f t="shared" si="70"/>
        <v>0</v>
      </c>
      <c r="L89" s="277">
        <f>SUM(C89:K89)</f>
        <v>48750000</v>
      </c>
      <c r="M89" s="271">
        <f>L89/$C$2</f>
        <v>0.48749999999999999</v>
      </c>
      <c r="N89" s="5"/>
      <c r="P89" s="273"/>
      <c r="Q89" s="273"/>
      <c r="R89" s="273"/>
      <c r="S89" s="273"/>
      <c r="T89" s="273"/>
      <c r="U89" s="273"/>
      <c r="V89" s="273"/>
      <c r="W89" s="273"/>
      <c r="X89" s="273"/>
    </row>
    <row r="90" spans="1:24" ht="15.75" customHeight="1" x14ac:dyDescent="0.15">
      <c r="A90" s="5"/>
      <c r="B90" s="5"/>
      <c r="C90" s="279">
        <f t="shared" ref="C90:L90" si="71">IFERROR(C89/$C$2,"")</f>
        <v>0.25</v>
      </c>
      <c r="D90" s="279">
        <f t="shared" si="71"/>
        <v>0.1</v>
      </c>
      <c r="E90" s="279">
        <f t="shared" si="71"/>
        <v>0.1</v>
      </c>
      <c r="F90" s="279">
        <f t="shared" si="71"/>
        <v>3.7499999999999999E-2</v>
      </c>
      <c r="G90" s="279">
        <f t="shared" si="71"/>
        <v>0</v>
      </c>
      <c r="H90" s="279">
        <f t="shared" si="71"/>
        <v>0</v>
      </c>
      <c r="I90" s="279">
        <f t="shared" si="71"/>
        <v>0</v>
      </c>
      <c r="J90" s="279">
        <f t="shared" si="71"/>
        <v>0</v>
      </c>
      <c r="K90" s="279">
        <f t="shared" si="71"/>
        <v>0</v>
      </c>
      <c r="L90" s="271">
        <f t="shared" si="71"/>
        <v>0.48749999999999999</v>
      </c>
      <c r="M90" s="5"/>
      <c r="N90" s="5"/>
      <c r="P90" s="273"/>
      <c r="Q90" s="273"/>
      <c r="R90" s="273"/>
      <c r="S90" s="273"/>
      <c r="T90" s="273"/>
      <c r="U90" s="273"/>
      <c r="V90" s="273"/>
      <c r="W90" s="273"/>
      <c r="X90" s="273"/>
    </row>
    <row r="91" spans="1:24" ht="15.75" customHeight="1" x14ac:dyDescent="0.15">
      <c r="A91" s="5"/>
      <c r="B91" s="5"/>
      <c r="C91" s="280">
        <f t="shared" ref="C91:K91" si="72">C10-C90</f>
        <v>0</v>
      </c>
      <c r="D91" s="280">
        <f t="shared" si="72"/>
        <v>0</v>
      </c>
      <c r="E91" s="280">
        <f t="shared" si="72"/>
        <v>0</v>
      </c>
      <c r="F91" s="280">
        <f t="shared" si="72"/>
        <v>0.11249999999999999</v>
      </c>
      <c r="G91" s="280">
        <f t="shared" si="72"/>
        <v>0.2</v>
      </c>
      <c r="H91" s="280">
        <f t="shared" si="72"/>
        <v>0</v>
      </c>
      <c r="I91" s="280">
        <f t="shared" si="72"/>
        <v>0.2</v>
      </c>
      <c r="J91" s="280">
        <f t="shared" si="72"/>
        <v>0</v>
      </c>
      <c r="K91" s="280">
        <f t="shared" si="72"/>
        <v>0</v>
      </c>
      <c r="L91" s="281"/>
      <c r="M91" s="5"/>
      <c r="N91" s="5"/>
      <c r="P91" s="273"/>
      <c r="Q91" s="273"/>
      <c r="R91" s="273"/>
      <c r="S91" s="273"/>
      <c r="T91" s="273"/>
      <c r="U91" s="273"/>
      <c r="V91" s="273"/>
      <c r="W91" s="273"/>
      <c r="X91" s="273"/>
    </row>
    <row r="92" spans="1:24" ht="15.75" customHeight="1" x14ac:dyDescent="0.15">
      <c r="A92" s="281"/>
      <c r="B92" s="281"/>
      <c r="C92" s="282" t="b">
        <f t="shared" ref="C92:K92" si="73">C89=C9</f>
        <v>1</v>
      </c>
      <c r="D92" s="282" t="b">
        <f t="shared" si="73"/>
        <v>1</v>
      </c>
      <c r="E92" s="282" t="b">
        <f t="shared" si="73"/>
        <v>1</v>
      </c>
      <c r="F92" s="282" t="b">
        <f t="shared" si="73"/>
        <v>0</v>
      </c>
      <c r="G92" s="282" t="b">
        <f t="shared" si="73"/>
        <v>0</v>
      </c>
      <c r="H92" s="282" t="b">
        <f t="shared" si="73"/>
        <v>1</v>
      </c>
      <c r="I92" s="282" t="b">
        <f t="shared" si="73"/>
        <v>0</v>
      </c>
      <c r="J92" s="282" t="b">
        <f t="shared" si="73"/>
        <v>1</v>
      </c>
      <c r="K92" s="282" t="b">
        <f t="shared" si="73"/>
        <v>1</v>
      </c>
      <c r="L92" s="281"/>
      <c r="M92" s="5"/>
      <c r="N92" s="5"/>
      <c r="P92" s="273"/>
      <c r="Q92" s="273"/>
      <c r="R92" s="273"/>
      <c r="S92" s="273"/>
      <c r="T92" s="273"/>
      <c r="U92" s="273"/>
      <c r="V92" s="273"/>
      <c r="W92" s="273"/>
      <c r="X92" s="273"/>
    </row>
    <row r="93" spans="1:24" ht="15.75" customHeight="1" x14ac:dyDescent="0.15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5"/>
      <c r="N93" s="5"/>
      <c r="P93" s="273"/>
      <c r="Q93" s="273"/>
      <c r="R93" s="273"/>
      <c r="S93" s="273"/>
      <c r="T93" s="273"/>
      <c r="U93" s="273"/>
      <c r="V93" s="273"/>
      <c r="W93" s="273"/>
      <c r="X93" s="273"/>
    </row>
    <row r="94" spans="1:24" ht="15.75" customHeight="1" x14ac:dyDescent="0.15">
      <c r="A94" s="281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5"/>
      <c r="N94" s="5"/>
      <c r="P94" s="273"/>
      <c r="Q94" s="273"/>
      <c r="R94" s="273"/>
      <c r="S94" s="273"/>
      <c r="T94" s="273"/>
      <c r="U94" s="273"/>
      <c r="V94" s="273"/>
      <c r="W94" s="273"/>
      <c r="X94" s="273"/>
    </row>
    <row r="95" spans="1:24" ht="15.75" customHeight="1" x14ac:dyDescent="0.15">
      <c r="A95" s="281"/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5"/>
      <c r="N95" s="5"/>
      <c r="P95" s="273"/>
      <c r="Q95" s="273"/>
      <c r="R95" s="273"/>
      <c r="S95" s="273"/>
      <c r="T95" s="273"/>
      <c r="U95" s="273"/>
      <c r="V95" s="273"/>
      <c r="W95" s="273"/>
      <c r="X95" s="273"/>
    </row>
    <row r="96" spans="1:24" ht="15.75" customHeight="1" x14ac:dyDescent="0.15">
      <c r="A96" s="281"/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5"/>
      <c r="N96" s="5"/>
      <c r="P96" s="273"/>
      <c r="Q96" s="273"/>
      <c r="R96" s="273"/>
      <c r="S96" s="273"/>
      <c r="T96" s="273"/>
      <c r="U96" s="273"/>
      <c r="V96" s="273"/>
      <c r="W96" s="273"/>
      <c r="X96" s="273"/>
    </row>
    <row r="97" spans="1:24" ht="15.75" customHeight="1" x14ac:dyDescent="0.15">
      <c r="A97" s="281"/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5"/>
      <c r="N97" s="5"/>
      <c r="P97" s="273"/>
      <c r="Q97" s="273"/>
      <c r="R97" s="273"/>
      <c r="S97" s="273"/>
      <c r="T97" s="273"/>
      <c r="U97" s="273"/>
      <c r="V97" s="273"/>
      <c r="W97" s="273"/>
      <c r="X97" s="273"/>
    </row>
    <row r="98" spans="1:24" ht="15.75" customHeight="1" x14ac:dyDescent="0.15">
      <c r="A98" s="281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5"/>
      <c r="N98" s="5"/>
      <c r="P98" s="273"/>
      <c r="Q98" s="273"/>
      <c r="R98" s="273"/>
      <c r="S98" s="273"/>
      <c r="T98" s="273"/>
      <c r="U98" s="273"/>
      <c r="V98" s="273"/>
      <c r="W98" s="273"/>
      <c r="X98" s="273"/>
    </row>
    <row r="99" spans="1:24" ht="15.75" customHeight="1" x14ac:dyDescent="0.15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5"/>
      <c r="N99" s="5"/>
      <c r="P99" s="273"/>
      <c r="Q99" s="273"/>
      <c r="R99" s="273"/>
      <c r="S99" s="273"/>
      <c r="T99" s="273"/>
      <c r="U99" s="273"/>
      <c r="V99" s="273"/>
      <c r="W99" s="273"/>
      <c r="X99" s="273"/>
    </row>
    <row r="100" spans="1:24" ht="15.75" customHeight="1" x14ac:dyDescent="0.15">
      <c r="A100" s="281"/>
      <c r="B100" s="281"/>
      <c r="C100" s="281"/>
      <c r="D100" s="281"/>
      <c r="E100" s="281"/>
      <c r="F100" s="281"/>
      <c r="G100" s="281"/>
      <c r="H100" s="281"/>
      <c r="I100" s="281"/>
      <c r="J100" s="281"/>
      <c r="K100" s="281"/>
      <c r="L100" s="281"/>
      <c r="M100" s="5"/>
      <c r="N100" s="5"/>
      <c r="P100" s="273"/>
      <c r="Q100" s="273"/>
      <c r="R100" s="273"/>
      <c r="S100" s="273"/>
      <c r="T100" s="273"/>
      <c r="U100" s="273"/>
      <c r="V100" s="273"/>
      <c r="W100" s="273"/>
      <c r="X100" s="273"/>
    </row>
    <row r="101" spans="1:24" ht="15.75" customHeight="1" x14ac:dyDescent="0.15">
      <c r="A101" s="281"/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5"/>
      <c r="N101" s="5"/>
      <c r="P101" s="273"/>
      <c r="Q101" s="273"/>
      <c r="R101" s="273"/>
      <c r="S101" s="273"/>
      <c r="T101" s="273"/>
      <c r="U101" s="273"/>
      <c r="V101" s="273"/>
      <c r="W101" s="273"/>
      <c r="X101" s="273"/>
    </row>
    <row r="102" spans="1:24" ht="15.75" customHeight="1" x14ac:dyDescent="0.15">
      <c r="A102" s="281"/>
      <c r="B102" s="281"/>
      <c r="C102" s="281"/>
      <c r="D102" s="281"/>
      <c r="E102" s="281"/>
      <c r="F102" s="281"/>
      <c r="G102" s="281"/>
      <c r="H102" s="281"/>
      <c r="I102" s="281"/>
      <c r="J102" s="281"/>
      <c r="K102" s="281"/>
      <c r="L102" s="281"/>
      <c r="M102" s="5"/>
      <c r="N102" s="5"/>
    </row>
    <row r="103" spans="1:24" ht="15.75" customHeight="1" x14ac:dyDescent="0.15">
      <c r="A103" s="281"/>
      <c r="B103" s="281"/>
      <c r="C103" s="281"/>
      <c r="D103" s="281"/>
      <c r="E103" s="281"/>
      <c r="F103" s="281"/>
      <c r="G103" s="281"/>
      <c r="H103" s="281"/>
      <c r="I103" s="281"/>
      <c r="J103" s="281"/>
      <c r="K103" s="281"/>
      <c r="L103" s="281"/>
      <c r="M103" s="5"/>
      <c r="N103" s="5"/>
    </row>
    <row r="104" spans="1:24" ht="15.75" customHeight="1" x14ac:dyDescent="0.15">
      <c r="A104" s="281"/>
      <c r="B104" s="281"/>
      <c r="C104" s="281"/>
      <c r="D104" s="281"/>
      <c r="E104" s="281"/>
      <c r="F104" s="281"/>
      <c r="G104" s="281"/>
      <c r="H104" s="281"/>
      <c r="I104" s="281"/>
      <c r="J104" s="281"/>
      <c r="K104" s="281"/>
      <c r="L104" s="281"/>
      <c r="M104" s="5"/>
      <c r="N104" s="5"/>
    </row>
    <row r="105" spans="1:24" ht="15.75" customHeight="1" x14ac:dyDescent="0.15">
      <c r="A105" s="281"/>
      <c r="B105" s="281"/>
      <c r="C105" s="281"/>
      <c r="D105" s="281"/>
      <c r="E105" s="281"/>
      <c r="F105" s="281"/>
      <c r="G105" s="281"/>
      <c r="H105" s="281"/>
      <c r="I105" s="281"/>
      <c r="J105" s="281"/>
      <c r="K105" s="281"/>
      <c r="L105" s="281"/>
      <c r="M105" s="5"/>
      <c r="N105" s="5"/>
    </row>
    <row r="106" spans="1:24" ht="15.75" customHeight="1" x14ac:dyDescent="0.15">
      <c r="A106" s="281"/>
      <c r="B106" s="281"/>
      <c r="C106" s="281"/>
      <c r="D106" s="281"/>
      <c r="E106" s="281"/>
      <c r="F106" s="281"/>
      <c r="G106" s="281"/>
      <c r="H106" s="281"/>
      <c r="I106" s="281"/>
      <c r="J106" s="281"/>
      <c r="K106" s="281"/>
      <c r="L106" s="281"/>
      <c r="M106" s="5"/>
      <c r="N106" s="5"/>
    </row>
    <row r="107" spans="1:24" ht="15.75" customHeight="1" x14ac:dyDescent="0.15">
      <c r="A107" s="281"/>
      <c r="B107" s="281"/>
      <c r="C107" s="281"/>
      <c r="D107" s="281"/>
      <c r="E107" s="281"/>
      <c r="F107" s="281"/>
      <c r="G107" s="281"/>
      <c r="H107" s="281"/>
      <c r="I107" s="281"/>
      <c r="J107" s="281"/>
      <c r="K107" s="281"/>
      <c r="L107" s="281"/>
      <c r="M107" s="5"/>
      <c r="N107" s="5"/>
    </row>
    <row r="108" spans="1:24" ht="15.75" customHeight="1" x14ac:dyDescent="0.15">
      <c r="A108" s="5"/>
      <c r="B108" s="5"/>
      <c r="C108" s="5"/>
      <c r="D108" s="5"/>
      <c r="E108" s="15"/>
      <c r="F108" s="214"/>
      <c r="G108" s="15"/>
      <c r="H108" s="15"/>
      <c r="I108" s="214"/>
      <c r="J108" s="5"/>
      <c r="K108" s="5"/>
      <c r="L108" s="5"/>
      <c r="M108" s="5"/>
      <c r="N108" s="5"/>
    </row>
    <row r="109" spans="1:24" ht="15.75" customHeight="1" x14ac:dyDescent="0.15">
      <c r="A109" s="5"/>
      <c r="B109" s="5"/>
      <c r="C109" s="5"/>
      <c r="D109" s="5"/>
      <c r="E109" s="214"/>
      <c r="F109" s="5"/>
      <c r="G109" s="15"/>
      <c r="H109" s="214"/>
      <c r="I109" s="5"/>
      <c r="J109" s="5"/>
      <c r="K109" s="5"/>
      <c r="L109" s="5"/>
      <c r="M109" s="5"/>
      <c r="N109" s="5"/>
    </row>
    <row r="110" spans="1:24" ht="15.75" customHeight="1" x14ac:dyDescent="0.15">
      <c r="A110" s="5"/>
      <c r="B110" s="5"/>
      <c r="C110" s="5"/>
      <c r="D110" s="5"/>
      <c r="E110" s="214"/>
      <c r="F110" s="5"/>
      <c r="G110" s="214"/>
      <c r="H110" s="15"/>
      <c r="I110" s="5"/>
      <c r="J110" s="5"/>
      <c r="K110" s="5"/>
      <c r="L110" s="5"/>
      <c r="M110" s="5"/>
      <c r="N110" s="5"/>
    </row>
    <row r="111" spans="1:24" ht="15.75" customHeight="1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24" ht="15.75" customHeight="1" x14ac:dyDescent="0.15">
      <c r="A112" s="5"/>
      <c r="B112" s="5"/>
      <c r="C112" s="5"/>
      <c r="D112" s="5"/>
      <c r="E112" s="5"/>
      <c r="F112" s="5"/>
      <c r="G112" s="214"/>
      <c r="H112" s="5"/>
      <c r="I112" s="5"/>
      <c r="J112" s="5"/>
      <c r="K112" s="5"/>
      <c r="L112" s="5"/>
      <c r="M112" s="5"/>
      <c r="N112" s="5"/>
    </row>
    <row r="113" spans="1:14" ht="15.75" customHeight="1" x14ac:dyDescent="0.15">
      <c r="A113" s="5"/>
      <c r="B113" s="5"/>
      <c r="C113" s="5"/>
      <c r="D113" s="5"/>
      <c r="E113" s="5"/>
      <c r="F113" s="5"/>
      <c r="G113" s="15"/>
      <c r="H113" s="5"/>
      <c r="I113" s="5"/>
      <c r="J113" s="5"/>
      <c r="K113" s="5"/>
      <c r="L113" s="5"/>
      <c r="M113" s="5"/>
      <c r="N113" s="5"/>
    </row>
    <row r="114" spans="1:14" ht="15.75" customHeight="1" x14ac:dyDescent="0.15">
      <c r="A114" s="5"/>
      <c r="B114" s="5"/>
      <c r="C114" s="5"/>
      <c r="D114" s="5"/>
      <c r="E114" s="5"/>
      <c r="F114" s="5"/>
      <c r="G114" s="214"/>
      <c r="H114" s="5"/>
      <c r="I114" s="5"/>
      <c r="J114" s="5"/>
      <c r="K114" s="5"/>
      <c r="L114" s="5"/>
      <c r="M114" s="5"/>
      <c r="N114" s="5"/>
    </row>
    <row r="115" spans="1:14" ht="15.75" customHeight="1" x14ac:dyDescent="0.15"/>
    <row r="116" spans="1:14" ht="15.75" customHeight="1" x14ac:dyDescent="0.15"/>
    <row r="117" spans="1:14" ht="15.75" customHeight="1" x14ac:dyDescent="0.15"/>
    <row r="118" spans="1:14" ht="15.75" customHeight="1" x14ac:dyDescent="0.15"/>
    <row r="119" spans="1:14" ht="15.75" customHeight="1" x14ac:dyDescent="0.15"/>
    <row r="120" spans="1:14" ht="15.75" customHeight="1" x14ac:dyDescent="0.15"/>
    <row r="121" spans="1:14" ht="15.75" customHeight="1" x14ac:dyDescent="0.15"/>
    <row r="122" spans="1:14" ht="15.75" customHeight="1" x14ac:dyDescent="0.15"/>
    <row r="123" spans="1:14" ht="15.75" customHeight="1" x14ac:dyDescent="0.15"/>
    <row r="124" spans="1:14" ht="15.75" customHeight="1" x14ac:dyDescent="0.15"/>
    <row r="125" spans="1:14" ht="15.75" customHeight="1" x14ac:dyDescent="0.15"/>
    <row r="126" spans="1:14" ht="15.75" customHeight="1" x14ac:dyDescent="0.15"/>
    <row r="127" spans="1:14" ht="15.75" customHeight="1" x14ac:dyDescent="0.15"/>
    <row r="128" spans="1:14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46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C1000"/>
  <sheetViews>
    <sheetView showGridLines="0" workbookViewId="0"/>
  </sheetViews>
  <sheetFormatPr baseColWidth="10" defaultColWidth="12.6640625" defaultRowHeight="15" customHeight="1" x14ac:dyDescent="0.15"/>
  <cols>
    <col min="1" max="1" width="3.6640625" customWidth="1"/>
    <col min="2" max="6" width="12.6640625" customWidth="1"/>
  </cols>
  <sheetData>
    <row r="2" spans="2:3" ht="13" x14ac:dyDescent="0.15">
      <c r="B2" s="4" t="s">
        <v>118</v>
      </c>
    </row>
    <row r="4" spans="2:3" ht="13" x14ac:dyDescent="0.15">
      <c r="B4" s="170" t="s">
        <v>119</v>
      </c>
    </row>
    <row r="5" spans="2:3" ht="13" x14ac:dyDescent="0.15">
      <c r="B5" s="293" t="s">
        <v>120</v>
      </c>
      <c r="C5" s="174" t="s">
        <v>120</v>
      </c>
    </row>
    <row r="6" spans="2:3" ht="13" x14ac:dyDescent="0.15">
      <c r="B6" s="293" t="s">
        <v>121</v>
      </c>
      <c r="C6" s="174" t="s">
        <v>122</v>
      </c>
    </row>
    <row r="7" spans="2:3" ht="13" x14ac:dyDescent="0.15">
      <c r="B7" s="293" t="s">
        <v>123</v>
      </c>
      <c r="C7" s="174" t="s">
        <v>124</v>
      </c>
    </row>
    <row r="8" spans="2:3" ht="13" x14ac:dyDescent="0.15">
      <c r="B8" s="293" t="s">
        <v>125</v>
      </c>
      <c r="C8" s="174" t="s">
        <v>126</v>
      </c>
    </row>
    <row r="9" spans="2:3" ht="13" x14ac:dyDescent="0.15">
      <c r="B9" s="294" t="s">
        <v>127</v>
      </c>
      <c r="C9" s="199" t="s">
        <v>128</v>
      </c>
    </row>
    <row r="10" spans="2:3" ht="13" x14ac:dyDescent="0.15">
      <c r="B10" s="293" t="s">
        <v>129</v>
      </c>
      <c r="C10" s="174" t="s">
        <v>129</v>
      </c>
    </row>
    <row r="11" spans="2:3" ht="13" x14ac:dyDescent="0.15">
      <c r="B11" s="170"/>
    </row>
    <row r="12" spans="2:3" ht="13" x14ac:dyDescent="0.15">
      <c r="B12" s="170" t="s">
        <v>130</v>
      </c>
    </row>
    <row r="13" spans="2:3" ht="13" x14ac:dyDescent="0.15">
      <c r="B13" s="295" t="s">
        <v>131</v>
      </c>
      <c r="C13" s="174" t="s">
        <v>132</v>
      </c>
    </row>
    <row r="14" spans="2:3" ht="13" x14ac:dyDescent="0.15">
      <c r="B14" s="295" t="s">
        <v>133</v>
      </c>
      <c r="C14" s="174" t="s">
        <v>134</v>
      </c>
    </row>
    <row r="15" spans="2:3" ht="13" x14ac:dyDescent="0.15">
      <c r="B15" s="295" t="s">
        <v>135</v>
      </c>
      <c r="C15" s="174" t="s">
        <v>136</v>
      </c>
    </row>
    <row r="16" spans="2:3" ht="13" x14ac:dyDescent="0.15">
      <c r="B16" s="295" t="s">
        <v>137</v>
      </c>
      <c r="C16" s="174" t="s">
        <v>138</v>
      </c>
    </row>
    <row r="17" spans="2:3" ht="13" x14ac:dyDescent="0.15">
      <c r="B17" s="295" t="s">
        <v>139</v>
      </c>
      <c r="C17" s="174" t="s">
        <v>140</v>
      </c>
    </row>
    <row r="18" spans="2:3" ht="13" x14ac:dyDescent="0.15">
      <c r="B18" s="295" t="s">
        <v>141</v>
      </c>
      <c r="C18" s="174" t="s">
        <v>141</v>
      </c>
    </row>
    <row r="21" spans="2:3" ht="15.75" customHeight="1" x14ac:dyDescent="0.15"/>
    <row r="22" spans="2:3" ht="15.75" customHeight="1" x14ac:dyDescent="0.15">
      <c r="B22" s="170"/>
    </row>
    <row r="23" spans="2:3" ht="15.75" customHeight="1" x14ac:dyDescent="0.15">
      <c r="B23" s="295"/>
    </row>
    <row r="24" spans="2:3" ht="15.75" customHeight="1" x14ac:dyDescent="0.15"/>
    <row r="25" spans="2:3" ht="15.75" customHeight="1" x14ac:dyDescent="0.15"/>
    <row r="26" spans="2:3" ht="15.75" customHeight="1" x14ac:dyDescent="0.15"/>
    <row r="27" spans="2:3" ht="15.75" customHeight="1" x14ac:dyDescent="0.15"/>
    <row r="28" spans="2:3" ht="15.75" customHeight="1" x14ac:dyDescent="0.15"/>
    <row r="29" spans="2:3" ht="15.75" customHeight="1" x14ac:dyDescent="0.15"/>
    <row r="30" spans="2:3" ht="15.75" customHeight="1" x14ac:dyDescent="0.15"/>
    <row r="31" spans="2:3" ht="15.75" customHeight="1" x14ac:dyDescent="0.15"/>
    <row r="32" spans="2: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46" type="noConversion"/>
  <pageMargins left="0.70078740157480324" right="0.70078740157480324" top="0.75196850393700787" bottom="0.75196850393700787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D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 x14ac:dyDescent="0.15"/>
  <cols>
    <col min="1" max="6" width="12.6640625" customWidth="1"/>
  </cols>
  <sheetData>
    <row r="2" spans="1:4" ht="28" x14ac:dyDescent="0.15">
      <c r="B2" s="296" t="s">
        <v>146</v>
      </c>
      <c r="C2" s="296" t="s">
        <v>255</v>
      </c>
      <c r="D2" s="296" t="s">
        <v>256</v>
      </c>
    </row>
    <row r="3" spans="1:4" ht="13" x14ac:dyDescent="0.15">
      <c r="A3" s="174" t="s">
        <v>257</v>
      </c>
      <c r="B3" s="297">
        <v>44197</v>
      </c>
      <c r="C3" s="298"/>
      <c r="D3" s="298"/>
    </row>
    <row r="4" spans="1:4" ht="13" x14ac:dyDescent="0.15">
      <c r="B4" s="297">
        <f t="shared" ref="B4:B258" si="0">B3+1</f>
        <v>44198</v>
      </c>
      <c r="C4" s="298"/>
      <c r="D4" s="298"/>
    </row>
    <row r="5" spans="1:4" ht="13" x14ac:dyDescent="0.15">
      <c r="B5" s="297">
        <f t="shared" si="0"/>
        <v>44199</v>
      </c>
      <c r="C5" s="298"/>
      <c r="D5" s="298"/>
    </row>
    <row r="6" spans="1:4" ht="13" x14ac:dyDescent="0.15">
      <c r="B6" s="297">
        <f t="shared" si="0"/>
        <v>44200</v>
      </c>
      <c r="C6" s="298"/>
      <c r="D6" s="298"/>
    </row>
    <row r="7" spans="1:4" ht="13" x14ac:dyDescent="0.15">
      <c r="B7" s="297">
        <f t="shared" si="0"/>
        <v>44201</v>
      </c>
      <c r="C7" s="298"/>
      <c r="D7" s="298"/>
    </row>
    <row r="8" spans="1:4" ht="13" x14ac:dyDescent="0.15">
      <c r="B8" s="297">
        <f t="shared" si="0"/>
        <v>44202</v>
      </c>
      <c r="C8" s="298"/>
      <c r="D8" s="298"/>
    </row>
    <row r="9" spans="1:4" ht="13" x14ac:dyDescent="0.15">
      <c r="B9" s="297">
        <f t="shared" si="0"/>
        <v>44203</v>
      </c>
      <c r="C9" s="298"/>
      <c r="D9" s="298"/>
    </row>
    <row r="10" spans="1:4" ht="13" x14ac:dyDescent="0.15">
      <c r="B10" s="297">
        <f t="shared" si="0"/>
        <v>44204</v>
      </c>
      <c r="C10" s="298"/>
      <c r="D10" s="298"/>
    </row>
    <row r="11" spans="1:4" ht="13" x14ac:dyDescent="0.15">
      <c r="B11" s="297">
        <f t="shared" si="0"/>
        <v>44205</v>
      </c>
      <c r="C11" s="298"/>
      <c r="D11" s="298"/>
    </row>
    <row r="12" spans="1:4" ht="13" x14ac:dyDescent="0.15">
      <c r="B12" s="297">
        <f t="shared" si="0"/>
        <v>44206</v>
      </c>
      <c r="C12" s="298"/>
      <c r="D12" s="298"/>
    </row>
    <row r="13" spans="1:4" ht="13" x14ac:dyDescent="0.15">
      <c r="B13" s="297">
        <f t="shared" si="0"/>
        <v>44207</v>
      </c>
      <c r="C13" s="298"/>
      <c r="D13" s="298"/>
    </row>
    <row r="14" spans="1:4" ht="13" x14ac:dyDescent="0.15">
      <c r="B14" s="297">
        <f t="shared" si="0"/>
        <v>44208</v>
      </c>
      <c r="C14" s="298"/>
      <c r="D14" s="298"/>
    </row>
    <row r="15" spans="1:4" ht="13" x14ac:dyDescent="0.15">
      <c r="B15" s="297">
        <f t="shared" si="0"/>
        <v>44209</v>
      </c>
      <c r="C15" s="298"/>
      <c r="D15" s="298"/>
    </row>
    <row r="16" spans="1:4" ht="13" x14ac:dyDescent="0.15">
      <c r="B16" s="297">
        <f t="shared" si="0"/>
        <v>44210</v>
      </c>
      <c r="C16" s="298"/>
      <c r="D16" s="298"/>
    </row>
    <row r="17" spans="2:4" ht="13" x14ac:dyDescent="0.15">
      <c r="B17" s="297">
        <f t="shared" si="0"/>
        <v>44211</v>
      </c>
      <c r="C17" s="298"/>
      <c r="D17" s="298"/>
    </row>
    <row r="18" spans="2:4" ht="13" x14ac:dyDescent="0.15">
      <c r="B18" s="297">
        <f t="shared" si="0"/>
        <v>44212</v>
      </c>
      <c r="C18" s="298"/>
      <c r="D18" s="298"/>
    </row>
    <row r="19" spans="2:4" ht="13" x14ac:dyDescent="0.15">
      <c r="B19" s="297">
        <f t="shared" si="0"/>
        <v>44213</v>
      </c>
      <c r="C19" s="298"/>
      <c r="D19" s="298"/>
    </row>
    <row r="20" spans="2:4" ht="13" x14ac:dyDescent="0.15">
      <c r="B20" s="297">
        <f t="shared" si="0"/>
        <v>44214</v>
      </c>
      <c r="C20" s="298"/>
      <c r="D20" s="298"/>
    </row>
    <row r="21" spans="2:4" ht="15.75" customHeight="1" x14ac:dyDescent="0.15">
      <c r="B21" s="297">
        <f t="shared" si="0"/>
        <v>44215</v>
      </c>
      <c r="C21" s="298"/>
      <c r="D21" s="298"/>
    </row>
    <row r="22" spans="2:4" ht="15.75" customHeight="1" x14ac:dyDescent="0.15">
      <c r="B22" s="297">
        <f t="shared" si="0"/>
        <v>44216</v>
      </c>
      <c r="C22" s="298"/>
      <c r="D22" s="298"/>
    </row>
    <row r="23" spans="2:4" ht="15.75" customHeight="1" x14ac:dyDescent="0.15">
      <c r="B23" s="297">
        <f t="shared" si="0"/>
        <v>44217</v>
      </c>
      <c r="C23" s="298"/>
      <c r="D23" s="298"/>
    </row>
    <row r="24" spans="2:4" ht="15.75" customHeight="1" x14ac:dyDescent="0.15">
      <c r="B24" s="297">
        <f t="shared" si="0"/>
        <v>44218</v>
      </c>
      <c r="C24" s="298"/>
      <c r="D24" s="298"/>
    </row>
    <row r="25" spans="2:4" ht="15.75" customHeight="1" x14ac:dyDescent="0.15">
      <c r="B25" s="297">
        <f t="shared" si="0"/>
        <v>44219</v>
      </c>
      <c r="C25" s="298"/>
      <c r="D25" s="298"/>
    </row>
    <row r="26" spans="2:4" ht="15.75" customHeight="1" x14ac:dyDescent="0.15">
      <c r="B26" s="297">
        <f t="shared" si="0"/>
        <v>44220</v>
      </c>
      <c r="C26" s="298"/>
      <c r="D26" s="298"/>
    </row>
    <row r="27" spans="2:4" ht="15.75" customHeight="1" x14ac:dyDescent="0.15">
      <c r="B27" s="297">
        <f t="shared" si="0"/>
        <v>44221</v>
      </c>
      <c r="C27" s="298"/>
      <c r="D27" s="298"/>
    </row>
    <row r="28" spans="2:4" ht="15.75" customHeight="1" x14ac:dyDescent="0.15">
      <c r="B28" s="297">
        <f t="shared" si="0"/>
        <v>44222</v>
      </c>
      <c r="C28" s="298"/>
      <c r="D28" s="298"/>
    </row>
    <row r="29" spans="2:4" ht="15.75" customHeight="1" x14ac:dyDescent="0.15">
      <c r="B29" s="297">
        <f t="shared" si="0"/>
        <v>44223</v>
      </c>
      <c r="C29" s="298"/>
      <c r="D29" s="298"/>
    </row>
    <row r="30" spans="2:4" ht="15.75" customHeight="1" x14ac:dyDescent="0.15">
      <c r="B30" s="297">
        <f t="shared" si="0"/>
        <v>44224</v>
      </c>
      <c r="C30" s="298"/>
      <c r="D30" s="298"/>
    </row>
    <row r="31" spans="2:4" ht="15.75" customHeight="1" x14ac:dyDescent="0.15">
      <c r="B31" s="297">
        <f t="shared" si="0"/>
        <v>44225</v>
      </c>
      <c r="C31" s="298"/>
      <c r="D31" s="298"/>
    </row>
    <row r="32" spans="2:4" ht="15.75" customHeight="1" x14ac:dyDescent="0.15">
      <c r="B32" s="297">
        <f t="shared" si="0"/>
        <v>44226</v>
      </c>
      <c r="C32" s="298"/>
      <c r="D32" s="298"/>
    </row>
    <row r="33" spans="2:4" ht="15.75" customHeight="1" x14ac:dyDescent="0.15">
      <c r="B33" s="297">
        <f t="shared" si="0"/>
        <v>44227</v>
      </c>
      <c r="C33" s="298"/>
      <c r="D33" s="298"/>
    </row>
    <row r="34" spans="2:4" ht="15.75" customHeight="1" x14ac:dyDescent="0.15">
      <c r="B34" s="297">
        <f t="shared" si="0"/>
        <v>44228</v>
      </c>
      <c r="C34" s="298"/>
      <c r="D34" s="298"/>
    </row>
    <row r="35" spans="2:4" ht="15.75" customHeight="1" x14ac:dyDescent="0.15">
      <c r="B35" s="297">
        <f t="shared" si="0"/>
        <v>44229</v>
      </c>
      <c r="C35" s="298"/>
      <c r="D35" s="298"/>
    </row>
    <row r="36" spans="2:4" ht="15.75" customHeight="1" x14ac:dyDescent="0.15">
      <c r="B36" s="297">
        <f t="shared" si="0"/>
        <v>44230</v>
      </c>
      <c r="C36" s="298"/>
      <c r="D36" s="298"/>
    </row>
    <row r="37" spans="2:4" ht="15.75" customHeight="1" x14ac:dyDescent="0.15">
      <c r="B37" s="297">
        <f t="shared" si="0"/>
        <v>44231</v>
      </c>
      <c r="C37" s="298"/>
      <c r="D37" s="298"/>
    </row>
    <row r="38" spans="2:4" ht="15.75" customHeight="1" x14ac:dyDescent="0.15">
      <c r="B38" s="297">
        <f t="shared" si="0"/>
        <v>44232</v>
      </c>
      <c r="C38" s="298"/>
      <c r="D38" s="298"/>
    </row>
    <row r="39" spans="2:4" ht="15.75" customHeight="1" x14ac:dyDescent="0.15">
      <c r="B39" s="297">
        <f t="shared" si="0"/>
        <v>44233</v>
      </c>
      <c r="C39" s="298"/>
      <c r="D39" s="298"/>
    </row>
    <row r="40" spans="2:4" ht="15.75" customHeight="1" x14ac:dyDescent="0.15">
      <c r="B40" s="297">
        <f t="shared" si="0"/>
        <v>44234</v>
      </c>
      <c r="C40" s="298"/>
      <c r="D40" s="298"/>
    </row>
    <row r="41" spans="2:4" ht="15.75" customHeight="1" x14ac:dyDescent="0.15">
      <c r="B41" s="297">
        <f t="shared" si="0"/>
        <v>44235</v>
      </c>
      <c r="C41" s="298"/>
      <c r="D41" s="298"/>
    </row>
    <row r="42" spans="2:4" ht="15.75" customHeight="1" x14ac:dyDescent="0.15">
      <c r="B42" s="297">
        <f t="shared" si="0"/>
        <v>44236</v>
      </c>
      <c r="C42" s="298"/>
      <c r="D42" s="298"/>
    </row>
    <row r="43" spans="2:4" ht="15.75" customHeight="1" x14ac:dyDescent="0.15">
      <c r="B43" s="297">
        <f t="shared" si="0"/>
        <v>44237</v>
      </c>
      <c r="C43" s="298"/>
      <c r="D43" s="298"/>
    </row>
    <row r="44" spans="2:4" ht="15.75" customHeight="1" x14ac:dyDescent="0.15">
      <c r="B44" s="297">
        <f t="shared" si="0"/>
        <v>44238</v>
      </c>
      <c r="C44" s="298"/>
      <c r="D44" s="298"/>
    </row>
    <row r="45" spans="2:4" ht="15.75" customHeight="1" x14ac:dyDescent="0.15">
      <c r="B45" s="297">
        <f t="shared" si="0"/>
        <v>44239</v>
      </c>
      <c r="C45" s="298"/>
      <c r="D45" s="298"/>
    </row>
    <row r="46" spans="2:4" ht="15.75" customHeight="1" x14ac:dyDescent="0.15">
      <c r="B46" s="297">
        <f t="shared" si="0"/>
        <v>44240</v>
      </c>
      <c r="C46" s="298"/>
      <c r="D46" s="298"/>
    </row>
    <row r="47" spans="2:4" ht="15.75" customHeight="1" x14ac:dyDescent="0.15">
      <c r="B47" s="297">
        <f t="shared" si="0"/>
        <v>44241</v>
      </c>
      <c r="C47" s="298"/>
      <c r="D47" s="298"/>
    </row>
    <row r="48" spans="2:4" ht="15.75" customHeight="1" x14ac:dyDescent="0.15">
      <c r="B48" s="297">
        <f t="shared" si="0"/>
        <v>44242</v>
      </c>
      <c r="C48" s="298"/>
      <c r="D48" s="298"/>
    </row>
    <row r="49" spans="2:4" ht="15.75" customHeight="1" x14ac:dyDescent="0.15">
      <c r="B49" s="297">
        <f t="shared" si="0"/>
        <v>44243</v>
      </c>
      <c r="C49" s="298"/>
      <c r="D49" s="298"/>
    </row>
    <row r="50" spans="2:4" ht="15.75" customHeight="1" x14ac:dyDescent="0.15">
      <c r="B50" s="297">
        <f t="shared" si="0"/>
        <v>44244</v>
      </c>
      <c r="C50" s="298"/>
      <c r="D50" s="298"/>
    </row>
    <row r="51" spans="2:4" ht="15.75" customHeight="1" x14ac:dyDescent="0.15">
      <c r="B51" s="297">
        <f t="shared" si="0"/>
        <v>44245</v>
      </c>
      <c r="C51" s="298"/>
      <c r="D51" s="298"/>
    </row>
    <row r="52" spans="2:4" ht="15.75" customHeight="1" x14ac:dyDescent="0.15">
      <c r="B52" s="297">
        <f t="shared" si="0"/>
        <v>44246</v>
      </c>
      <c r="C52" s="298"/>
      <c r="D52" s="298"/>
    </row>
    <row r="53" spans="2:4" ht="15.75" customHeight="1" x14ac:dyDescent="0.15">
      <c r="B53" s="297">
        <f t="shared" si="0"/>
        <v>44247</v>
      </c>
      <c r="C53" s="298"/>
      <c r="D53" s="298"/>
    </row>
    <row r="54" spans="2:4" ht="15.75" customHeight="1" x14ac:dyDescent="0.15">
      <c r="B54" s="297">
        <f t="shared" si="0"/>
        <v>44248</v>
      </c>
      <c r="C54" s="298"/>
      <c r="D54" s="298"/>
    </row>
    <row r="55" spans="2:4" ht="15.75" customHeight="1" x14ac:dyDescent="0.15">
      <c r="B55" s="297">
        <f t="shared" si="0"/>
        <v>44249</v>
      </c>
      <c r="C55" s="298"/>
      <c r="D55" s="298"/>
    </row>
    <row r="56" spans="2:4" ht="15.75" customHeight="1" x14ac:dyDescent="0.15">
      <c r="B56" s="297">
        <f t="shared" si="0"/>
        <v>44250</v>
      </c>
      <c r="C56" s="298"/>
      <c r="D56" s="298"/>
    </row>
    <row r="57" spans="2:4" ht="15.75" customHeight="1" x14ac:dyDescent="0.15">
      <c r="B57" s="297">
        <f t="shared" si="0"/>
        <v>44251</v>
      </c>
      <c r="C57" s="298"/>
      <c r="D57" s="298"/>
    </row>
    <row r="58" spans="2:4" ht="15.75" customHeight="1" x14ac:dyDescent="0.15">
      <c r="B58" s="297">
        <f t="shared" si="0"/>
        <v>44252</v>
      </c>
      <c r="C58" s="298"/>
      <c r="D58" s="298"/>
    </row>
    <row r="59" spans="2:4" ht="15.75" customHeight="1" x14ac:dyDescent="0.15">
      <c r="B59" s="297">
        <f t="shared" si="0"/>
        <v>44253</v>
      </c>
      <c r="C59" s="298"/>
      <c r="D59" s="298"/>
    </row>
    <row r="60" spans="2:4" ht="15.75" customHeight="1" x14ac:dyDescent="0.15">
      <c r="B60" s="297">
        <f t="shared" si="0"/>
        <v>44254</v>
      </c>
      <c r="C60" s="298"/>
      <c r="D60" s="298"/>
    </row>
    <row r="61" spans="2:4" ht="15.75" customHeight="1" x14ac:dyDescent="0.15">
      <c r="B61" s="297">
        <f t="shared" si="0"/>
        <v>44255</v>
      </c>
      <c r="C61" s="298"/>
      <c r="D61" s="298"/>
    </row>
    <row r="62" spans="2:4" ht="15.75" customHeight="1" x14ac:dyDescent="0.15">
      <c r="B62" s="297">
        <f t="shared" si="0"/>
        <v>44256</v>
      </c>
      <c r="C62" s="298"/>
      <c r="D62" s="298"/>
    </row>
    <row r="63" spans="2:4" ht="15.75" customHeight="1" x14ac:dyDescent="0.15">
      <c r="B63" s="297">
        <f t="shared" si="0"/>
        <v>44257</v>
      </c>
      <c r="C63" s="298"/>
      <c r="D63" s="298"/>
    </row>
    <row r="64" spans="2:4" ht="15.75" customHeight="1" x14ac:dyDescent="0.15">
      <c r="B64" s="297">
        <f t="shared" si="0"/>
        <v>44258</v>
      </c>
      <c r="C64" s="298"/>
      <c r="D64" s="298"/>
    </row>
    <row r="65" spans="2:4" ht="15.75" customHeight="1" x14ac:dyDescent="0.15">
      <c r="B65" s="297">
        <f t="shared" si="0"/>
        <v>44259</v>
      </c>
      <c r="C65" s="298"/>
      <c r="D65" s="298"/>
    </row>
    <row r="66" spans="2:4" ht="15.75" customHeight="1" x14ac:dyDescent="0.15">
      <c r="B66" s="297">
        <f t="shared" si="0"/>
        <v>44260</v>
      </c>
      <c r="C66" s="298"/>
      <c r="D66" s="298"/>
    </row>
    <row r="67" spans="2:4" ht="15.75" customHeight="1" x14ac:dyDescent="0.15">
      <c r="B67" s="297">
        <f t="shared" si="0"/>
        <v>44261</v>
      </c>
      <c r="C67" s="298"/>
      <c r="D67" s="298"/>
    </row>
    <row r="68" spans="2:4" ht="15.75" customHeight="1" x14ac:dyDescent="0.15">
      <c r="B68" s="297">
        <f t="shared" si="0"/>
        <v>44262</v>
      </c>
      <c r="C68" s="298"/>
      <c r="D68" s="298"/>
    </row>
    <row r="69" spans="2:4" ht="15.75" customHeight="1" x14ac:dyDescent="0.15">
      <c r="B69" s="297">
        <f t="shared" si="0"/>
        <v>44263</v>
      </c>
      <c r="C69" s="298"/>
      <c r="D69" s="298"/>
    </row>
    <row r="70" spans="2:4" ht="15.75" customHeight="1" x14ac:dyDescent="0.15">
      <c r="B70" s="297">
        <f t="shared" si="0"/>
        <v>44264</v>
      </c>
      <c r="C70" s="298"/>
      <c r="D70" s="298"/>
    </row>
    <row r="71" spans="2:4" ht="15.75" customHeight="1" x14ac:dyDescent="0.15">
      <c r="B71" s="297">
        <f t="shared" si="0"/>
        <v>44265</v>
      </c>
      <c r="C71" s="298"/>
      <c r="D71" s="298"/>
    </row>
    <row r="72" spans="2:4" ht="15.75" customHeight="1" x14ac:dyDescent="0.15">
      <c r="B72" s="297">
        <f t="shared" si="0"/>
        <v>44266</v>
      </c>
      <c r="C72" s="298"/>
      <c r="D72" s="298"/>
    </row>
    <row r="73" spans="2:4" ht="15.75" customHeight="1" x14ac:dyDescent="0.15">
      <c r="B73" s="297">
        <f t="shared" si="0"/>
        <v>44267</v>
      </c>
      <c r="C73" s="298"/>
      <c r="D73" s="298"/>
    </row>
    <row r="74" spans="2:4" ht="15.75" customHeight="1" x14ac:dyDescent="0.15">
      <c r="B74" s="297">
        <f t="shared" si="0"/>
        <v>44268</v>
      </c>
      <c r="C74" s="298"/>
      <c r="D74" s="298"/>
    </row>
    <row r="75" spans="2:4" ht="15.75" customHeight="1" x14ac:dyDescent="0.15">
      <c r="B75" s="297">
        <f t="shared" si="0"/>
        <v>44269</v>
      </c>
      <c r="C75" s="298"/>
      <c r="D75" s="298"/>
    </row>
    <row r="76" spans="2:4" ht="15.75" customHeight="1" x14ac:dyDescent="0.15">
      <c r="B76" s="297">
        <f t="shared" si="0"/>
        <v>44270</v>
      </c>
      <c r="C76" s="298"/>
      <c r="D76" s="298"/>
    </row>
    <row r="77" spans="2:4" ht="15.75" customHeight="1" x14ac:dyDescent="0.15">
      <c r="B77" s="297">
        <f t="shared" si="0"/>
        <v>44271</v>
      </c>
      <c r="C77" s="298"/>
      <c r="D77" s="298"/>
    </row>
    <row r="78" spans="2:4" ht="15.75" customHeight="1" x14ac:dyDescent="0.15">
      <c r="B78" s="297">
        <f t="shared" si="0"/>
        <v>44272</v>
      </c>
      <c r="C78" s="298"/>
      <c r="D78" s="298"/>
    </row>
    <row r="79" spans="2:4" ht="15.75" customHeight="1" x14ac:dyDescent="0.15">
      <c r="B79" s="297">
        <f t="shared" si="0"/>
        <v>44273</v>
      </c>
      <c r="C79" s="298"/>
      <c r="D79" s="298"/>
    </row>
    <row r="80" spans="2:4" ht="15.75" customHeight="1" x14ac:dyDescent="0.15">
      <c r="B80" s="297">
        <f t="shared" si="0"/>
        <v>44274</v>
      </c>
      <c r="C80" s="298"/>
      <c r="D80" s="298"/>
    </row>
    <row r="81" spans="2:4" ht="15.75" customHeight="1" x14ac:dyDescent="0.15">
      <c r="B81" s="297">
        <f t="shared" si="0"/>
        <v>44275</v>
      </c>
      <c r="C81" s="298"/>
      <c r="D81" s="298"/>
    </row>
    <row r="82" spans="2:4" ht="15.75" customHeight="1" x14ac:dyDescent="0.15">
      <c r="B82" s="297">
        <f t="shared" si="0"/>
        <v>44276</v>
      </c>
      <c r="C82" s="298"/>
      <c r="D82" s="298"/>
    </row>
    <row r="83" spans="2:4" ht="15.75" customHeight="1" x14ac:dyDescent="0.15">
      <c r="B83" s="297">
        <f t="shared" si="0"/>
        <v>44277</v>
      </c>
      <c r="C83" s="298"/>
      <c r="D83" s="298"/>
    </row>
    <row r="84" spans="2:4" ht="15.75" customHeight="1" x14ac:dyDescent="0.15">
      <c r="B84" s="297">
        <f t="shared" si="0"/>
        <v>44278</v>
      </c>
      <c r="C84" s="298"/>
      <c r="D84" s="298"/>
    </row>
    <row r="85" spans="2:4" ht="15.75" customHeight="1" x14ac:dyDescent="0.15">
      <c r="B85" s="297">
        <f t="shared" si="0"/>
        <v>44279</v>
      </c>
      <c r="C85" s="298"/>
      <c r="D85" s="298"/>
    </row>
    <row r="86" spans="2:4" ht="15.75" customHeight="1" x14ac:dyDescent="0.15">
      <c r="B86" s="297">
        <f t="shared" si="0"/>
        <v>44280</v>
      </c>
      <c r="C86" s="298"/>
      <c r="D86" s="298"/>
    </row>
    <row r="87" spans="2:4" ht="15.75" customHeight="1" x14ac:dyDescent="0.15">
      <c r="B87" s="297">
        <f t="shared" si="0"/>
        <v>44281</v>
      </c>
      <c r="C87" s="298"/>
      <c r="D87" s="298"/>
    </row>
    <row r="88" spans="2:4" ht="15.75" customHeight="1" x14ac:dyDescent="0.15">
      <c r="B88" s="297">
        <f t="shared" si="0"/>
        <v>44282</v>
      </c>
      <c r="C88" s="298"/>
      <c r="D88" s="298"/>
    </row>
    <row r="89" spans="2:4" ht="15.75" customHeight="1" x14ac:dyDescent="0.15">
      <c r="B89" s="297">
        <f t="shared" si="0"/>
        <v>44283</v>
      </c>
      <c r="C89" s="298"/>
      <c r="D89" s="298"/>
    </row>
    <row r="90" spans="2:4" ht="15.75" customHeight="1" x14ac:dyDescent="0.15">
      <c r="B90" s="297">
        <f t="shared" si="0"/>
        <v>44284</v>
      </c>
      <c r="C90" s="298"/>
      <c r="D90" s="298"/>
    </row>
    <row r="91" spans="2:4" ht="15.75" customHeight="1" x14ac:dyDescent="0.15">
      <c r="B91" s="297">
        <f t="shared" si="0"/>
        <v>44285</v>
      </c>
      <c r="C91" s="298"/>
      <c r="D91" s="298"/>
    </row>
    <row r="92" spans="2:4" ht="15.75" customHeight="1" x14ac:dyDescent="0.15">
      <c r="B92" s="297">
        <f t="shared" si="0"/>
        <v>44286</v>
      </c>
      <c r="C92" s="298"/>
      <c r="D92" s="298"/>
    </row>
    <row r="93" spans="2:4" ht="15.75" customHeight="1" x14ac:dyDescent="0.15">
      <c r="B93" s="297">
        <f t="shared" si="0"/>
        <v>44287</v>
      </c>
      <c r="C93" s="298"/>
      <c r="D93" s="298"/>
    </row>
    <row r="94" spans="2:4" ht="15.75" customHeight="1" x14ac:dyDescent="0.15">
      <c r="B94" s="297">
        <f t="shared" si="0"/>
        <v>44288</v>
      </c>
      <c r="C94" s="298"/>
      <c r="D94" s="298"/>
    </row>
    <row r="95" spans="2:4" ht="15.75" customHeight="1" x14ac:dyDescent="0.15">
      <c r="B95" s="297">
        <f t="shared" si="0"/>
        <v>44289</v>
      </c>
      <c r="C95" s="298"/>
      <c r="D95" s="298"/>
    </row>
    <row r="96" spans="2:4" ht="15.75" customHeight="1" x14ac:dyDescent="0.15">
      <c r="B96" s="297">
        <f t="shared" si="0"/>
        <v>44290</v>
      </c>
      <c r="C96" s="298"/>
      <c r="D96" s="298"/>
    </row>
    <row r="97" spans="2:4" ht="15.75" customHeight="1" x14ac:dyDescent="0.15">
      <c r="B97" s="297">
        <f t="shared" si="0"/>
        <v>44291</v>
      </c>
      <c r="C97" s="298"/>
      <c r="D97" s="298"/>
    </row>
    <row r="98" spans="2:4" ht="15.75" customHeight="1" x14ac:dyDescent="0.15">
      <c r="B98" s="297">
        <f t="shared" si="0"/>
        <v>44292</v>
      </c>
      <c r="C98" s="298"/>
      <c r="D98" s="298"/>
    </row>
    <row r="99" spans="2:4" ht="15.75" customHeight="1" x14ac:dyDescent="0.15">
      <c r="B99" s="297">
        <f t="shared" si="0"/>
        <v>44293</v>
      </c>
      <c r="C99" s="298"/>
      <c r="D99" s="298"/>
    </row>
    <row r="100" spans="2:4" ht="15.75" customHeight="1" x14ac:dyDescent="0.15">
      <c r="B100" s="297">
        <f t="shared" si="0"/>
        <v>44294</v>
      </c>
      <c r="C100" s="298"/>
      <c r="D100" s="298"/>
    </row>
    <row r="101" spans="2:4" ht="15.75" customHeight="1" x14ac:dyDescent="0.15">
      <c r="B101" s="297">
        <f t="shared" si="0"/>
        <v>44295</v>
      </c>
      <c r="C101" s="298"/>
      <c r="D101" s="298"/>
    </row>
    <row r="102" spans="2:4" ht="15.75" customHeight="1" x14ac:dyDescent="0.15">
      <c r="B102" s="297">
        <f t="shared" si="0"/>
        <v>44296</v>
      </c>
      <c r="C102" s="298"/>
      <c r="D102" s="298"/>
    </row>
    <row r="103" spans="2:4" ht="15.75" customHeight="1" x14ac:dyDescent="0.15">
      <c r="B103" s="297">
        <f t="shared" si="0"/>
        <v>44297</v>
      </c>
      <c r="C103" s="298"/>
      <c r="D103" s="298"/>
    </row>
    <row r="104" spans="2:4" ht="15.75" customHeight="1" x14ac:dyDescent="0.15">
      <c r="B104" s="297">
        <f t="shared" si="0"/>
        <v>44298</v>
      </c>
      <c r="C104" s="298"/>
      <c r="D104" s="298"/>
    </row>
    <row r="105" spans="2:4" ht="15.75" customHeight="1" x14ac:dyDescent="0.15">
      <c r="B105" s="297">
        <f t="shared" si="0"/>
        <v>44299</v>
      </c>
      <c r="C105" s="298"/>
      <c r="D105" s="298"/>
    </row>
    <row r="106" spans="2:4" ht="15.75" customHeight="1" x14ac:dyDescent="0.15">
      <c r="B106" s="297">
        <f t="shared" si="0"/>
        <v>44300</v>
      </c>
      <c r="C106" s="298"/>
      <c r="D106" s="298"/>
    </row>
    <row r="107" spans="2:4" ht="15.75" customHeight="1" x14ac:dyDescent="0.15">
      <c r="B107" s="297">
        <f t="shared" si="0"/>
        <v>44301</v>
      </c>
      <c r="C107" s="298"/>
      <c r="D107" s="298"/>
    </row>
    <row r="108" spans="2:4" ht="15.75" customHeight="1" x14ac:dyDescent="0.15">
      <c r="B108" s="297">
        <f t="shared" si="0"/>
        <v>44302</v>
      </c>
      <c r="C108" s="298"/>
      <c r="D108" s="298"/>
    </row>
    <row r="109" spans="2:4" ht="15.75" customHeight="1" x14ac:dyDescent="0.15">
      <c r="B109" s="297">
        <f t="shared" si="0"/>
        <v>44303</v>
      </c>
      <c r="C109" s="298"/>
      <c r="D109" s="298"/>
    </row>
    <row r="110" spans="2:4" ht="15.75" customHeight="1" x14ac:dyDescent="0.15">
      <c r="B110" s="297">
        <f t="shared" si="0"/>
        <v>44304</v>
      </c>
      <c r="C110" s="298"/>
      <c r="D110" s="298"/>
    </row>
    <row r="111" spans="2:4" ht="15.75" customHeight="1" x14ac:dyDescent="0.15">
      <c r="B111" s="297">
        <f t="shared" si="0"/>
        <v>44305</v>
      </c>
      <c r="C111" s="298"/>
      <c r="D111" s="298"/>
    </row>
    <row r="112" spans="2:4" ht="15.75" customHeight="1" x14ac:dyDescent="0.15">
      <c r="B112" s="297">
        <f t="shared" si="0"/>
        <v>44306</v>
      </c>
      <c r="C112" s="298"/>
      <c r="D112" s="298"/>
    </row>
    <row r="113" spans="2:4" ht="15.75" customHeight="1" x14ac:dyDescent="0.15">
      <c r="B113" s="297">
        <f t="shared" si="0"/>
        <v>44307</v>
      </c>
      <c r="C113" s="298"/>
      <c r="D113" s="298"/>
    </row>
    <row r="114" spans="2:4" ht="15.75" customHeight="1" x14ac:dyDescent="0.15">
      <c r="B114" s="297">
        <f t="shared" si="0"/>
        <v>44308</v>
      </c>
      <c r="C114" s="298"/>
      <c r="D114" s="298"/>
    </row>
    <row r="115" spans="2:4" ht="15.75" customHeight="1" x14ac:dyDescent="0.15">
      <c r="B115" s="297">
        <f t="shared" si="0"/>
        <v>44309</v>
      </c>
      <c r="C115" s="298"/>
      <c r="D115" s="298"/>
    </row>
    <row r="116" spans="2:4" ht="15.75" customHeight="1" x14ac:dyDescent="0.15">
      <c r="B116" s="297">
        <f t="shared" si="0"/>
        <v>44310</v>
      </c>
      <c r="C116" s="298"/>
      <c r="D116" s="298"/>
    </row>
    <row r="117" spans="2:4" ht="15.75" customHeight="1" x14ac:dyDescent="0.15">
      <c r="B117" s="297">
        <f t="shared" si="0"/>
        <v>44311</v>
      </c>
      <c r="C117" s="298"/>
      <c r="D117" s="298"/>
    </row>
    <row r="118" spans="2:4" ht="15.75" customHeight="1" x14ac:dyDescent="0.15">
      <c r="B118" s="297">
        <f t="shared" si="0"/>
        <v>44312</v>
      </c>
      <c r="C118" s="298"/>
      <c r="D118" s="298"/>
    </row>
    <row r="119" spans="2:4" ht="15.75" customHeight="1" x14ac:dyDescent="0.15">
      <c r="B119" s="297">
        <f t="shared" si="0"/>
        <v>44313</v>
      </c>
      <c r="C119" s="298"/>
      <c r="D119" s="298"/>
    </row>
    <row r="120" spans="2:4" ht="15.75" customHeight="1" x14ac:dyDescent="0.15">
      <c r="B120" s="297">
        <f t="shared" si="0"/>
        <v>44314</v>
      </c>
      <c r="C120" s="298"/>
      <c r="D120" s="298"/>
    </row>
    <row r="121" spans="2:4" ht="15.75" customHeight="1" x14ac:dyDescent="0.15">
      <c r="B121" s="297">
        <f t="shared" si="0"/>
        <v>44315</v>
      </c>
      <c r="C121" s="298"/>
      <c r="D121" s="298"/>
    </row>
    <row r="122" spans="2:4" ht="15.75" customHeight="1" x14ac:dyDescent="0.15">
      <c r="B122" s="297">
        <f t="shared" si="0"/>
        <v>44316</v>
      </c>
      <c r="C122" s="298"/>
      <c r="D122" s="298"/>
    </row>
    <row r="123" spans="2:4" ht="15.75" customHeight="1" x14ac:dyDescent="0.15">
      <c r="B123" s="297">
        <f t="shared" si="0"/>
        <v>44317</v>
      </c>
      <c r="C123" s="298"/>
      <c r="D123" s="298"/>
    </row>
    <row r="124" spans="2:4" ht="15.75" customHeight="1" x14ac:dyDescent="0.15">
      <c r="B124" s="297">
        <f t="shared" si="0"/>
        <v>44318</v>
      </c>
      <c r="C124" s="298"/>
      <c r="D124" s="298"/>
    </row>
    <row r="125" spans="2:4" ht="15.75" customHeight="1" x14ac:dyDescent="0.15">
      <c r="B125" s="297">
        <f t="shared" si="0"/>
        <v>44319</v>
      </c>
      <c r="C125" s="298"/>
      <c r="D125" s="298"/>
    </row>
    <row r="126" spans="2:4" ht="15.75" customHeight="1" x14ac:dyDescent="0.15">
      <c r="B126" s="297">
        <f t="shared" si="0"/>
        <v>44320</v>
      </c>
      <c r="C126" s="298"/>
      <c r="D126" s="298"/>
    </row>
    <row r="127" spans="2:4" ht="15.75" customHeight="1" x14ac:dyDescent="0.15">
      <c r="B127" s="297">
        <f t="shared" si="0"/>
        <v>44321</v>
      </c>
      <c r="C127" s="298"/>
      <c r="D127" s="298"/>
    </row>
    <row r="128" spans="2:4" ht="15.75" customHeight="1" x14ac:dyDescent="0.15">
      <c r="B128" s="297">
        <f t="shared" si="0"/>
        <v>44322</v>
      </c>
      <c r="C128" s="298"/>
      <c r="D128" s="298"/>
    </row>
    <row r="129" spans="2:4" ht="15.75" customHeight="1" x14ac:dyDescent="0.15">
      <c r="B129" s="297">
        <f t="shared" si="0"/>
        <v>44323</v>
      </c>
      <c r="C129" s="298"/>
      <c r="D129" s="298"/>
    </row>
    <row r="130" spans="2:4" ht="15.75" customHeight="1" x14ac:dyDescent="0.15">
      <c r="B130" s="297">
        <f t="shared" si="0"/>
        <v>44324</v>
      </c>
      <c r="C130" s="298"/>
      <c r="D130" s="298"/>
    </row>
    <row r="131" spans="2:4" ht="15.75" customHeight="1" x14ac:dyDescent="0.15">
      <c r="B131" s="297">
        <f t="shared" si="0"/>
        <v>44325</v>
      </c>
      <c r="C131" s="298"/>
      <c r="D131" s="298"/>
    </row>
    <row r="132" spans="2:4" ht="15.75" customHeight="1" x14ac:dyDescent="0.15">
      <c r="B132" s="297">
        <f t="shared" si="0"/>
        <v>44326</v>
      </c>
      <c r="C132" s="298"/>
      <c r="D132" s="298"/>
    </row>
    <row r="133" spans="2:4" ht="15.75" customHeight="1" x14ac:dyDescent="0.15">
      <c r="B133" s="297">
        <f t="shared" si="0"/>
        <v>44327</v>
      </c>
      <c r="C133" s="298"/>
      <c r="D133" s="298"/>
    </row>
    <row r="134" spans="2:4" ht="15.75" customHeight="1" x14ac:dyDescent="0.15">
      <c r="B134" s="297">
        <f t="shared" si="0"/>
        <v>44328</v>
      </c>
      <c r="C134" s="298"/>
      <c r="D134" s="298"/>
    </row>
    <row r="135" spans="2:4" ht="15.75" customHeight="1" x14ac:dyDescent="0.15">
      <c r="B135" s="297">
        <f t="shared" si="0"/>
        <v>44329</v>
      </c>
      <c r="C135" s="298"/>
      <c r="D135" s="298"/>
    </row>
    <row r="136" spans="2:4" ht="15.75" customHeight="1" x14ac:dyDescent="0.15">
      <c r="B136" s="297">
        <f t="shared" si="0"/>
        <v>44330</v>
      </c>
      <c r="C136" s="298"/>
      <c r="D136" s="298"/>
    </row>
    <row r="137" spans="2:4" ht="15.75" customHeight="1" x14ac:dyDescent="0.15">
      <c r="B137" s="297">
        <f t="shared" si="0"/>
        <v>44331</v>
      </c>
      <c r="C137" s="298"/>
      <c r="D137" s="298"/>
    </row>
    <row r="138" spans="2:4" ht="15.75" customHeight="1" x14ac:dyDescent="0.15">
      <c r="B138" s="297">
        <f t="shared" si="0"/>
        <v>44332</v>
      </c>
      <c r="C138" s="298"/>
      <c r="D138" s="298"/>
    </row>
    <row r="139" spans="2:4" ht="15.75" customHeight="1" x14ac:dyDescent="0.15">
      <c r="B139" s="297">
        <f t="shared" si="0"/>
        <v>44333</v>
      </c>
      <c r="C139" s="298"/>
      <c r="D139" s="298"/>
    </row>
    <row r="140" spans="2:4" ht="15.75" customHeight="1" x14ac:dyDescent="0.15">
      <c r="B140" s="297">
        <f t="shared" si="0"/>
        <v>44334</v>
      </c>
      <c r="C140" s="298"/>
      <c r="D140" s="298"/>
    </row>
    <row r="141" spans="2:4" ht="15.75" customHeight="1" x14ac:dyDescent="0.15">
      <c r="B141" s="297">
        <f t="shared" si="0"/>
        <v>44335</v>
      </c>
      <c r="C141" s="298"/>
      <c r="D141" s="298"/>
    </row>
    <row r="142" spans="2:4" ht="15.75" customHeight="1" x14ac:dyDescent="0.15">
      <c r="B142" s="297">
        <f t="shared" si="0"/>
        <v>44336</v>
      </c>
      <c r="C142" s="298"/>
      <c r="D142" s="298"/>
    </row>
    <row r="143" spans="2:4" ht="15.75" customHeight="1" x14ac:dyDescent="0.15">
      <c r="B143" s="297">
        <f t="shared" si="0"/>
        <v>44337</v>
      </c>
      <c r="C143" s="298"/>
      <c r="D143" s="298"/>
    </row>
    <row r="144" spans="2:4" ht="15.75" customHeight="1" x14ac:dyDescent="0.15">
      <c r="B144" s="297">
        <f t="shared" si="0"/>
        <v>44338</v>
      </c>
      <c r="C144" s="298"/>
      <c r="D144" s="298"/>
    </row>
    <row r="145" spans="2:4" ht="15.75" customHeight="1" x14ac:dyDescent="0.15">
      <c r="B145" s="297">
        <f t="shared" si="0"/>
        <v>44339</v>
      </c>
      <c r="C145" s="298"/>
      <c r="D145" s="298"/>
    </row>
    <row r="146" spans="2:4" ht="15.75" customHeight="1" x14ac:dyDescent="0.15">
      <c r="B146" s="297">
        <f t="shared" si="0"/>
        <v>44340</v>
      </c>
      <c r="C146" s="298"/>
      <c r="D146" s="298"/>
    </row>
    <row r="147" spans="2:4" ht="15.75" customHeight="1" x14ac:dyDescent="0.15">
      <c r="B147" s="297">
        <f t="shared" si="0"/>
        <v>44341</v>
      </c>
      <c r="C147" s="298"/>
      <c r="D147" s="298"/>
    </row>
    <row r="148" spans="2:4" ht="15.75" customHeight="1" x14ac:dyDescent="0.15">
      <c r="B148" s="297">
        <f t="shared" si="0"/>
        <v>44342</v>
      </c>
      <c r="C148" s="298"/>
      <c r="D148" s="298"/>
    </row>
    <row r="149" spans="2:4" ht="15.75" customHeight="1" x14ac:dyDescent="0.15">
      <c r="B149" s="297">
        <f t="shared" si="0"/>
        <v>44343</v>
      </c>
      <c r="C149" s="298"/>
      <c r="D149" s="298"/>
    </row>
    <row r="150" spans="2:4" ht="15.75" customHeight="1" x14ac:dyDescent="0.15">
      <c r="B150" s="297">
        <f t="shared" si="0"/>
        <v>44344</v>
      </c>
      <c r="C150" s="298"/>
      <c r="D150" s="298"/>
    </row>
    <row r="151" spans="2:4" ht="15.75" customHeight="1" x14ac:dyDescent="0.15">
      <c r="B151" s="297">
        <f t="shared" si="0"/>
        <v>44345</v>
      </c>
      <c r="C151" s="298"/>
      <c r="D151" s="298"/>
    </row>
    <row r="152" spans="2:4" ht="15.75" customHeight="1" x14ac:dyDescent="0.15">
      <c r="B152" s="297">
        <f t="shared" si="0"/>
        <v>44346</v>
      </c>
      <c r="C152" s="298"/>
      <c r="D152" s="298"/>
    </row>
    <row r="153" spans="2:4" ht="15.75" customHeight="1" x14ac:dyDescent="0.15">
      <c r="B153" s="297">
        <f t="shared" si="0"/>
        <v>44347</v>
      </c>
      <c r="C153" s="298"/>
      <c r="D153" s="298"/>
    </row>
    <row r="154" spans="2:4" ht="15.75" customHeight="1" x14ac:dyDescent="0.15">
      <c r="B154" s="297">
        <f t="shared" si="0"/>
        <v>44348</v>
      </c>
      <c r="C154" s="298"/>
      <c r="D154" s="298"/>
    </row>
    <row r="155" spans="2:4" ht="15.75" customHeight="1" x14ac:dyDescent="0.15">
      <c r="B155" s="297">
        <f t="shared" si="0"/>
        <v>44349</v>
      </c>
      <c r="C155" s="298"/>
      <c r="D155" s="298"/>
    </row>
    <row r="156" spans="2:4" ht="15.75" customHeight="1" x14ac:dyDescent="0.15">
      <c r="B156" s="297">
        <f t="shared" si="0"/>
        <v>44350</v>
      </c>
      <c r="C156" s="298"/>
      <c r="D156" s="298"/>
    </row>
    <row r="157" spans="2:4" ht="15.75" customHeight="1" x14ac:dyDescent="0.15">
      <c r="B157" s="297">
        <f t="shared" si="0"/>
        <v>44351</v>
      </c>
      <c r="C157" s="298"/>
      <c r="D157" s="298"/>
    </row>
    <row r="158" spans="2:4" ht="15.75" customHeight="1" x14ac:dyDescent="0.15">
      <c r="B158" s="297">
        <f t="shared" si="0"/>
        <v>44352</v>
      </c>
      <c r="C158" s="298"/>
      <c r="D158" s="298"/>
    </row>
    <row r="159" spans="2:4" ht="15.75" customHeight="1" x14ac:dyDescent="0.15">
      <c r="B159" s="297">
        <f t="shared" si="0"/>
        <v>44353</v>
      </c>
      <c r="C159" s="298"/>
      <c r="D159" s="298"/>
    </row>
    <row r="160" spans="2:4" ht="15.75" customHeight="1" x14ac:dyDescent="0.15">
      <c r="B160" s="297">
        <f t="shared" si="0"/>
        <v>44354</v>
      </c>
      <c r="C160" s="298"/>
      <c r="D160" s="298"/>
    </row>
    <row r="161" spans="2:4" ht="15.75" customHeight="1" x14ac:dyDescent="0.15">
      <c r="B161" s="297">
        <f t="shared" si="0"/>
        <v>44355</v>
      </c>
      <c r="C161" s="298"/>
      <c r="D161" s="298"/>
    </row>
    <row r="162" spans="2:4" ht="15.75" customHeight="1" x14ac:dyDescent="0.15">
      <c r="B162" s="297">
        <f t="shared" si="0"/>
        <v>44356</v>
      </c>
      <c r="C162" s="298"/>
      <c r="D162" s="298"/>
    </row>
    <row r="163" spans="2:4" ht="15.75" customHeight="1" x14ac:dyDescent="0.15">
      <c r="B163" s="297">
        <f t="shared" si="0"/>
        <v>44357</v>
      </c>
      <c r="C163" s="298"/>
      <c r="D163" s="298"/>
    </row>
    <row r="164" spans="2:4" ht="15.75" customHeight="1" x14ac:dyDescent="0.15">
      <c r="B164" s="297">
        <f t="shared" si="0"/>
        <v>44358</v>
      </c>
      <c r="C164" s="298"/>
      <c r="D164" s="298"/>
    </row>
    <row r="165" spans="2:4" ht="15.75" customHeight="1" x14ac:dyDescent="0.15">
      <c r="B165" s="297">
        <f t="shared" si="0"/>
        <v>44359</v>
      </c>
      <c r="C165" s="298"/>
      <c r="D165" s="298"/>
    </row>
    <row r="166" spans="2:4" ht="15.75" customHeight="1" x14ac:dyDescent="0.15">
      <c r="B166" s="297">
        <f t="shared" si="0"/>
        <v>44360</v>
      </c>
      <c r="C166" s="298"/>
      <c r="D166" s="298"/>
    </row>
    <row r="167" spans="2:4" ht="15.75" customHeight="1" x14ac:dyDescent="0.15">
      <c r="B167" s="297">
        <f t="shared" si="0"/>
        <v>44361</v>
      </c>
      <c r="C167" s="298"/>
      <c r="D167" s="298"/>
    </row>
    <row r="168" spans="2:4" ht="15.75" customHeight="1" x14ac:dyDescent="0.15">
      <c r="B168" s="297">
        <f t="shared" si="0"/>
        <v>44362</v>
      </c>
      <c r="C168" s="298"/>
      <c r="D168" s="298"/>
    </row>
    <row r="169" spans="2:4" ht="15.75" customHeight="1" x14ac:dyDescent="0.15">
      <c r="B169" s="297">
        <f t="shared" si="0"/>
        <v>44363</v>
      </c>
      <c r="C169" s="298"/>
      <c r="D169" s="298"/>
    </row>
    <row r="170" spans="2:4" ht="15.75" customHeight="1" x14ac:dyDescent="0.15">
      <c r="B170" s="297">
        <f t="shared" si="0"/>
        <v>44364</v>
      </c>
      <c r="C170" s="298"/>
      <c r="D170" s="298"/>
    </row>
    <row r="171" spans="2:4" ht="15.75" customHeight="1" x14ac:dyDescent="0.15">
      <c r="B171" s="297">
        <f t="shared" si="0"/>
        <v>44365</v>
      </c>
      <c r="C171" s="298"/>
      <c r="D171" s="298"/>
    </row>
    <row r="172" spans="2:4" ht="15.75" customHeight="1" x14ac:dyDescent="0.15">
      <c r="B172" s="297">
        <f t="shared" si="0"/>
        <v>44366</v>
      </c>
      <c r="C172" s="298"/>
      <c r="D172" s="298"/>
    </row>
    <row r="173" spans="2:4" ht="15.75" customHeight="1" x14ac:dyDescent="0.15">
      <c r="B173" s="297">
        <f t="shared" si="0"/>
        <v>44367</v>
      </c>
      <c r="C173" s="298"/>
      <c r="D173" s="298"/>
    </row>
    <row r="174" spans="2:4" ht="15.75" customHeight="1" x14ac:dyDescent="0.15">
      <c r="B174" s="297">
        <f t="shared" si="0"/>
        <v>44368</v>
      </c>
      <c r="C174" s="298"/>
      <c r="D174" s="298"/>
    </row>
    <row r="175" spans="2:4" ht="15.75" customHeight="1" x14ac:dyDescent="0.15">
      <c r="B175" s="297">
        <f t="shared" si="0"/>
        <v>44369</v>
      </c>
      <c r="C175" s="298"/>
      <c r="D175" s="298"/>
    </row>
    <row r="176" spans="2:4" ht="15.75" customHeight="1" x14ac:dyDescent="0.15">
      <c r="B176" s="297">
        <f t="shared" si="0"/>
        <v>44370</v>
      </c>
      <c r="C176" s="298"/>
      <c r="D176" s="298"/>
    </row>
    <row r="177" spans="2:4" ht="15.75" customHeight="1" x14ac:dyDescent="0.15">
      <c r="B177" s="297">
        <f t="shared" si="0"/>
        <v>44371</v>
      </c>
      <c r="C177" s="298"/>
      <c r="D177" s="298"/>
    </row>
    <row r="178" spans="2:4" ht="15.75" customHeight="1" x14ac:dyDescent="0.15">
      <c r="B178" s="297">
        <f t="shared" si="0"/>
        <v>44372</v>
      </c>
      <c r="C178" s="298"/>
      <c r="D178" s="298"/>
    </row>
    <row r="179" spans="2:4" ht="15.75" customHeight="1" x14ac:dyDescent="0.15">
      <c r="B179" s="297">
        <f t="shared" si="0"/>
        <v>44373</v>
      </c>
      <c r="C179" s="298"/>
      <c r="D179" s="298"/>
    </row>
    <row r="180" spans="2:4" ht="15.75" customHeight="1" x14ac:dyDescent="0.15">
      <c r="B180" s="297">
        <f t="shared" si="0"/>
        <v>44374</v>
      </c>
      <c r="C180" s="298"/>
      <c r="D180" s="298"/>
    </row>
    <row r="181" spans="2:4" ht="15.75" customHeight="1" x14ac:dyDescent="0.15">
      <c r="B181" s="297">
        <f t="shared" si="0"/>
        <v>44375</v>
      </c>
      <c r="C181" s="298"/>
      <c r="D181" s="298"/>
    </row>
    <row r="182" spans="2:4" ht="15.75" customHeight="1" x14ac:dyDescent="0.15">
      <c r="B182" s="297">
        <f t="shared" si="0"/>
        <v>44376</v>
      </c>
      <c r="C182" s="298"/>
      <c r="D182" s="298"/>
    </row>
    <row r="183" spans="2:4" ht="15.75" customHeight="1" x14ac:dyDescent="0.15">
      <c r="B183" s="297">
        <f t="shared" si="0"/>
        <v>44377</v>
      </c>
      <c r="C183" s="298"/>
      <c r="D183" s="298"/>
    </row>
    <row r="184" spans="2:4" ht="15.75" customHeight="1" x14ac:dyDescent="0.15">
      <c r="B184" s="297">
        <f t="shared" si="0"/>
        <v>44378</v>
      </c>
      <c r="C184" s="298"/>
      <c r="D184" s="298"/>
    </row>
    <row r="185" spans="2:4" ht="15.75" customHeight="1" x14ac:dyDescent="0.15">
      <c r="B185" s="297">
        <f t="shared" si="0"/>
        <v>44379</v>
      </c>
      <c r="C185" s="298"/>
      <c r="D185" s="298"/>
    </row>
    <row r="186" spans="2:4" ht="15.75" customHeight="1" x14ac:dyDescent="0.15">
      <c r="B186" s="297">
        <f t="shared" si="0"/>
        <v>44380</v>
      </c>
      <c r="C186" s="298"/>
      <c r="D186" s="298"/>
    </row>
    <row r="187" spans="2:4" ht="15.75" customHeight="1" x14ac:dyDescent="0.15">
      <c r="B187" s="297">
        <f t="shared" si="0"/>
        <v>44381</v>
      </c>
      <c r="C187" s="298"/>
      <c r="D187" s="298"/>
    </row>
    <row r="188" spans="2:4" ht="15.75" customHeight="1" x14ac:dyDescent="0.15">
      <c r="B188" s="297">
        <f t="shared" si="0"/>
        <v>44382</v>
      </c>
      <c r="C188" s="298"/>
      <c r="D188" s="298"/>
    </row>
    <row r="189" spans="2:4" ht="15.75" customHeight="1" x14ac:dyDescent="0.15">
      <c r="B189" s="297">
        <f t="shared" si="0"/>
        <v>44383</v>
      </c>
      <c r="C189" s="298"/>
      <c r="D189" s="298"/>
    </row>
    <row r="190" spans="2:4" ht="15.75" customHeight="1" x14ac:dyDescent="0.15">
      <c r="B190" s="297">
        <f t="shared" si="0"/>
        <v>44384</v>
      </c>
      <c r="C190" s="298"/>
      <c r="D190" s="298"/>
    </row>
    <row r="191" spans="2:4" ht="15.75" customHeight="1" x14ac:dyDescent="0.15">
      <c r="B191" s="297">
        <f t="shared" si="0"/>
        <v>44385</v>
      </c>
      <c r="C191" s="298"/>
      <c r="D191" s="298"/>
    </row>
    <row r="192" spans="2:4" ht="15.75" customHeight="1" x14ac:dyDescent="0.15">
      <c r="B192" s="297">
        <f t="shared" si="0"/>
        <v>44386</v>
      </c>
      <c r="C192" s="298"/>
      <c r="D192" s="298"/>
    </row>
    <row r="193" spans="2:4" ht="15.75" customHeight="1" x14ac:dyDescent="0.15">
      <c r="B193" s="297">
        <f t="shared" si="0"/>
        <v>44387</v>
      </c>
      <c r="C193" s="298"/>
      <c r="D193" s="298"/>
    </row>
    <row r="194" spans="2:4" ht="15.75" customHeight="1" x14ac:dyDescent="0.15">
      <c r="B194" s="297">
        <f t="shared" si="0"/>
        <v>44388</v>
      </c>
      <c r="C194" s="298"/>
      <c r="D194" s="298"/>
    </row>
    <row r="195" spans="2:4" ht="15.75" customHeight="1" x14ac:dyDescent="0.15">
      <c r="B195" s="297">
        <f t="shared" si="0"/>
        <v>44389</v>
      </c>
      <c r="C195" s="298"/>
      <c r="D195" s="298"/>
    </row>
    <row r="196" spans="2:4" ht="15.75" customHeight="1" x14ac:dyDescent="0.15">
      <c r="B196" s="297">
        <f t="shared" si="0"/>
        <v>44390</v>
      </c>
      <c r="C196" s="298"/>
      <c r="D196" s="298"/>
    </row>
    <row r="197" spans="2:4" ht="15.75" customHeight="1" x14ac:dyDescent="0.15">
      <c r="B197" s="297">
        <f t="shared" si="0"/>
        <v>44391</v>
      </c>
      <c r="C197" s="298"/>
      <c r="D197" s="298"/>
    </row>
    <row r="198" spans="2:4" ht="15.75" customHeight="1" x14ac:dyDescent="0.15">
      <c r="B198" s="297">
        <f t="shared" si="0"/>
        <v>44392</v>
      </c>
      <c r="C198" s="298"/>
      <c r="D198" s="298"/>
    </row>
    <row r="199" spans="2:4" ht="15.75" customHeight="1" x14ac:dyDescent="0.15">
      <c r="B199" s="297">
        <f t="shared" si="0"/>
        <v>44393</v>
      </c>
      <c r="C199" s="298"/>
      <c r="D199" s="298"/>
    </row>
    <row r="200" spans="2:4" ht="15.75" customHeight="1" x14ac:dyDescent="0.15">
      <c r="B200" s="297">
        <f t="shared" si="0"/>
        <v>44394</v>
      </c>
      <c r="C200" s="298"/>
      <c r="D200" s="298"/>
    </row>
    <row r="201" spans="2:4" ht="15.75" customHeight="1" x14ac:dyDescent="0.15">
      <c r="B201" s="297">
        <f t="shared" si="0"/>
        <v>44395</v>
      </c>
      <c r="C201" s="298"/>
      <c r="D201" s="298"/>
    </row>
    <row r="202" spans="2:4" ht="15.75" customHeight="1" x14ac:dyDescent="0.15">
      <c r="B202" s="297">
        <f t="shared" si="0"/>
        <v>44396</v>
      </c>
      <c r="C202" s="298"/>
      <c r="D202" s="298"/>
    </row>
    <row r="203" spans="2:4" ht="15.75" customHeight="1" x14ac:dyDescent="0.15">
      <c r="B203" s="297">
        <f t="shared" si="0"/>
        <v>44397</v>
      </c>
      <c r="C203" s="298"/>
      <c r="D203" s="298"/>
    </row>
    <row r="204" spans="2:4" ht="15.75" customHeight="1" x14ac:dyDescent="0.15">
      <c r="B204" s="297">
        <f t="shared" si="0"/>
        <v>44398</v>
      </c>
      <c r="C204" s="298"/>
      <c r="D204" s="298"/>
    </row>
    <row r="205" spans="2:4" ht="15.75" customHeight="1" x14ac:dyDescent="0.15">
      <c r="B205" s="297">
        <f t="shared" si="0"/>
        <v>44399</v>
      </c>
      <c r="C205" s="298"/>
      <c r="D205" s="298"/>
    </row>
    <row r="206" spans="2:4" ht="15.75" customHeight="1" x14ac:dyDescent="0.15">
      <c r="B206" s="297">
        <f t="shared" si="0"/>
        <v>44400</v>
      </c>
      <c r="C206" s="298"/>
      <c r="D206" s="298"/>
    </row>
    <row r="207" spans="2:4" ht="15.75" customHeight="1" x14ac:dyDescent="0.15">
      <c r="B207" s="297">
        <f t="shared" si="0"/>
        <v>44401</v>
      </c>
      <c r="C207" s="298"/>
      <c r="D207" s="298"/>
    </row>
    <row r="208" spans="2:4" ht="15.75" customHeight="1" x14ac:dyDescent="0.15">
      <c r="B208" s="297">
        <f t="shared" si="0"/>
        <v>44402</v>
      </c>
      <c r="C208" s="298"/>
      <c r="D208" s="298"/>
    </row>
    <row r="209" spans="2:4" ht="15.75" customHeight="1" x14ac:dyDescent="0.15">
      <c r="B209" s="297">
        <f t="shared" si="0"/>
        <v>44403</v>
      </c>
      <c r="C209" s="298"/>
      <c r="D209" s="298"/>
    </row>
    <row r="210" spans="2:4" ht="15.75" customHeight="1" x14ac:dyDescent="0.15">
      <c r="B210" s="297">
        <f t="shared" si="0"/>
        <v>44404</v>
      </c>
      <c r="C210" s="298"/>
      <c r="D210" s="298"/>
    </row>
    <row r="211" spans="2:4" ht="15.75" customHeight="1" x14ac:dyDescent="0.15">
      <c r="B211" s="297">
        <f t="shared" si="0"/>
        <v>44405</v>
      </c>
      <c r="C211" s="298"/>
      <c r="D211" s="298"/>
    </row>
    <row r="212" spans="2:4" ht="15.75" customHeight="1" x14ac:dyDescent="0.15">
      <c r="B212" s="297">
        <f t="shared" si="0"/>
        <v>44406</v>
      </c>
      <c r="C212" s="298"/>
      <c r="D212" s="298"/>
    </row>
    <row r="213" spans="2:4" ht="15.75" customHeight="1" x14ac:dyDescent="0.15">
      <c r="B213" s="297">
        <f t="shared" si="0"/>
        <v>44407</v>
      </c>
      <c r="C213" s="298"/>
      <c r="D213" s="298"/>
    </row>
    <row r="214" spans="2:4" ht="15.75" customHeight="1" x14ac:dyDescent="0.15">
      <c r="B214" s="297">
        <f t="shared" si="0"/>
        <v>44408</v>
      </c>
      <c r="C214" s="298"/>
      <c r="D214" s="298"/>
    </row>
    <row r="215" spans="2:4" ht="15.75" customHeight="1" x14ac:dyDescent="0.15">
      <c r="B215" s="297">
        <f t="shared" si="0"/>
        <v>44409</v>
      </c>
      <c r="C215" s="298"/>
      <c r="D215" s="298"/>
    </row>
    <row r="216" spans="2:4" ht="15.75" customHeight="1" x14ac:dyDescent="0.15">
      <c r="B216" s="297">
        <f t="shared" si="0"/>
        <v>44410</v>
      </c>
      <c r="C216" s="298"/>
      <c r="D216" s="298"/>
    </row>
    <row r="217" spans="2:4" ht="15.75" customHeight="1" x14ac:dyDescent="0.15">
      <c r="B217" s="297">
        <f t="shared" si="0"/>
        <v>44411</v>
      </c>
      <c r="C217" s="298"/>
      <c r="D217" s="298"/>
    </row>
    <row r="218" spans="2:4" ht="15.75" customHeight="1" x14ac:dyDescent="0.15">
      <c r="B218" s="297">
        <f t="shared" si="0"/>
        <v>44412</v>
      </c>
      <c r="C218" s="298"/>
      <c r="D218" s="298"/>
    </row>
    <row r="219" spans="2:4" ht="15.75" customHeight="1" x14ac:dyDescent="0.15">
      <c r="B219" s="297">
        <f t="shared" si="0"/>
        <v>44413</v>
      </c>
      <c r="C219" s="298"/>
      <c r="D219" s="298"/>
    </row>
    <row r="220" spans="2:4" ht="15.75" customHeight="1" x14ac:dyDescent="0.15">
      <c r="B220" s="297">
        <f t="shared" si="0"/>
        <v>44414</v>
      </c>
      <c r="C220" s="298"/>
      <c r="D220" s="298"/>
    </row>
    <row r="221" spans="2:4" ht="15.75" customHeight="1" x14ac:dyDescent="0.15">
      <c r="B221" s="297">
        <f t="shared" si="0"/>
        <v>44415</v>
      </c>
      <c r="C221" s="298"/>
      <c r="D221" s="298"/>
    </row>
    <row r="222" spans="2:4" ht="15.75" customHeight="1" x14ac:dyDescent="0.15">
      <c r="B222" s="297">
        <f t="shared" si="0"/>
        <v>44416</v>
      </c>
      <c r="C222" s="298"/>
      <c r="D222" s="298"/>
    </row>
    <row r="223" spans="2:4" ht="15.75" customHeight="1" x14ac:dyDescent="0.15">
      <c r="B223" s="297">
        <f t="shared" si="0"/>
        <v>44417</v>
      </c>
      <c r="C223" s="298"/>
      <c r="D223" s="298"/>
    </row>
    <row r="224" spans="2:4" ht="15.75" customHeight="1" x14ac:dyDescent="0.15">
      <c r="B224" s="297">
        <f t="shared" si="0"/>
        <v>44418</v>
      </c>
      <c r="C224" s="298"/>
      <c r="D224" s="298"/>
    </row>
    <row r="225" spans="2:4" ht="15.75" customHeight="1" x14ac:dyDescent="0.15">
      <c r="B225" s="297">
        <f t="shared" si="0"/>
        <v>44419</v>
      </c>
      <c r="C225" s="298"/>
      <c r="D225" s="298"/>
    </row>
    <row r="226" spans="2:4" ht="15.75" customHeight="1" x14ac:dyDescent="0.15">
      <c r="B226" s="297">
        <f t="shared" si="0"/>
        <v>44420</v>
      </c>
      <c r="C226" s="298"/>
      <c r="D226" s="298"/>
    </row>
    <row r="227" spans="2:4" ht="15.75" customHeight="1" x14ac:dyDescent="0.15">
      <c r="B227" s="297">
        <f t="shared" si="0"/>
        <v>44421</v>
      </c>
      <c r="C227" s="298"/>
      <c r="D227" s="298"/>
    </row>
    <row r="228" spans="2:4" ht="15.75" customHeight="1" x14ac:dyDescent="0.15">
      <c r="B228" s="297">
        <f t="shared" si="0"/>
        <v>44422</v>
      </c>
      <c r="C228" s="298"/>
      <c r="D228" s="298"/>
    </row>
    <row r="229" spans="2:4" ht="15.75" customHeight="1" x14ac:dyDescent="0.15">
      <c r="B229" s="297">
        <f t="shared" si="0"/>
        <v>44423</v>
      </c>
      <c r="C229" s="298"/>
      <c r="D229" s="298"/>
    </row>
    <row r="230" spans="2:4" ht="15.75" customHeight="1" x14ac:dyDescent="0.15">
      <c r="B230" s="297">
        <f t="shared" si="0"/>
        <v>44424</v>
      </c>
      <c r="C230" s="298"/>
      <c r="D230" s="298"/>
    </row>
    <row r="231" spans="2:4" ht="15.75" customHeight="1" x14ac:dyDescent="0.15">
      <c r="B231" s="297">
        <f t="shared" si="0"/>
        <v>44425</v>
      </c>
      <c r="C231" s="298"/>
      <c r="D231" s="298"/>
    </row>
    <row r="232" spans="2:4" ht="15.75" customHeight="1" x14ac:dyDescent="0.15">
      <c r="B232" s="297">
        <f t="shared" si="0"/>
        <v>44426</v>
      </c>
      <c r="C232" s="298"/>
      <c r="D232" s="298"/>
    </row>
    <row r="233" spans="2:4" ht="15.75" customHeight="1" x14ac:dyDescent="0.15">
      <c r="B233" s="297">
        <f t="shared" si="0"/>
        <v>44427</v>
      </c>
      <c r="C233" s="298"/>
      <c r="D233" s="298"/>
    </row>
    <row r="234" spans="2:4" ht="15.75" customHeight="1" x14ac:dyDescent="0.15">
      <c r="B234" s="297">
        <f t="shared" si="0"/>
        <v>44428</v>
      </c>
      <c r="C234" s="298"/>
      <c r="D234" s="298"/>
    </row>
    <row r="235" spans="2:4" ht="15.75" customHeight="1" x14ac:dyDescent="0.15">
      <c r="B235" s="297">
        <f t="shared" si="0"/>
        <v>44429</v>
      </c>
      <c r="C235" s="298"/>
      <c r="D235" s="298"/>
    </row>
    <row r="236" spans="2:4" ht="15.75" customHeight="1" x14ac:dyDescent="0.15">
      <c r="B236" s="297">
        <f t="shared" si="0"/>
        <v>44430</v>
      </c>
      <c r="C236" s="298"/>
      <c r="D236" s="298"/>
    </row>
    <row r="237" spans="2:4" ht="15.75" customHeight="1" x14ac:dyDescent="0.15">
      <c r="B237" s="297">
        <f t="shared" si="0"/>
        <v>44431</v>
      </c>
      <c r="C237" s="298"/>
      <c r="D237" s="298"/>
    </row>
    <row r="238" spans="2:4" ht="15.75" customHeight="1" x14ac:dyDescent="0.15">
      <c r="B238" s="297">
        <f t="shared" si="0"/>
        <v>44432</v>
      </c>
      <c r="C238" s="298"/>
      <c r="D238" s="298"/>
    </row>
    <row r="239" spans="2:4" ht="15.75" customHeight="1" x14ac:dyDescent="0.15">
      <c r="B239" s="297">
        <f t="shared" si="0"/>
        <v>44433</v>
      </c>
      <c r="C239" s="298"/>
      <c r="D239" s="298"/>
    </row>
    <row r="240" spans="2:4" ht="15.75" customHeight="1" x14ac:dyDescent="0.15">
      <c r="B240" s="297">
        <f t="shared" si="0"/>
        <v>44434</v>
      </c>
      <c r="C240" s="298"/>
      <c r="D240" s="298"/>
    </row>
    <row r="241" spans="2:4" ht="15.75" customHeight="1" x14ac:dyDescent="0.15">
      <c r="B241" s="297">
        <f t="shared" si="0"/>
        <v>44435</v>
      </c>
      <c r="C241" s="298"/>
      <c r="D241" s="298"/>
    </row>
    <row r="242" spans="2:4" ht="15.75" customHeight="1" x14ac:dyDescent="0.15">
      <c r="B242" s="297">
        <f t="shared" si="0"/>
        <v>44436</v>
      </c>
      <c r="C242" s="298"/>
      <c r="D242" s="298"/>
    </row>
    <row r="243" spans="2:4" ht="15.75" customHeight="1" x14ac:dyDescent="0.15">
      <c r="B243" s="297">
        <f t="shared" si="0"/>
        <v>44437</v>
      </c>
      <c r="C243" s="298"/>
      <c r="D243" s="298"/>
    </row>
    <row r="244" spans="2:4" ht="15.75" customHeight="1" x14ac:dyDescent="0.15">
      <c r="B244" s="297">
        <f t="shared" si="0"/>
        <v>44438</v>
      </c>
      <c r="C244" s="298"/>
      <c r="D244" s="298"/>
    </row>
    <row r="245" spans="2:4" ht="15.75" customHeight="1" x14ac:dyDescent="0.15">
      <c r="B245" s="297">
        <f t="shared" si="0"/>
        <v>44439</v>
      </c>
      <c r="C245" s="298"/>
      <c r="D245" s="298"/>
    </row>
    <row r="246" spans="2:4" ht="15.75" customHeight="1" x14ac:dyDescent="0.15">
      <c r="B246" s="297">
        <f t="shared" si="0"/>
        <v>44440</v>
      </c>
      <c r="C246" s="298"/>
      <c r="D246" s="298"/>
    </row>
    <row r="247" spans="2:4" ht="15.75" customHeight="1" x14ac:dyDescent="0.15">
      <c r="B247" s="297">
        <f t="shared" si="0"/>
        <v>44441</v>
      </c>
      <c r="C247" s="298"/>
      <c r="D247" s="298"/>
    </row>
    <row r="248" spans="2:4" ht="15.75" customHeight="1" x14ac:dyDescent="0.15">
      <c r="B248" s="297">
        <f t="shared" si="0"/>
        <v>44442</v>
      </c>
      <c r="C248" s="298"/>
      <c r="D248" s="298"/>
    </row>
    <row r="249" spans="2:4" ht="15.75" customHeight="1" x14ac:dyDescent="0.15">
      <c r="B249" s="297">
        <f t="shared" si="0"/>
        <v>44443</v>
      </c>
      <c r="C249" s="298"/>
      <c r="D249" s="298"/>
    </row>
    <row r="250" spans="2:4" ht="15.75" customHeight="1" x14ac:dyDescent="0.15">
      <c r="B250" s="297">
        <f t="shared" si="0"/>
        <v>44444</v>
      </c>
      <c r="C250" s="298"/>
      <c r="D250" s="298"/>
    </row>
    <row r="251" spans="2:4" ht="15.75" customHeight="1" x14ac:dyDescent="0.15">
      <c r="B251" s="297">
        <f t="shared" si="0"/>
        <v>44445</v>
      </c>
      <c r="C251" s="298"/>
      <c r="D251" s="298"/>
    </row>
    <row r="252" spans="2:4" ht="15.75" customHeight="1" x14ac:dyDescent="0.15">
      <c r="B252" s="297">
        <f t="shared" si="0"/>
        <v>44446</v>
      </c>
      <c r="C252" s="298"/>
      <c r="D252" s="298"/>
    </row>
    <row r="253" spans="2:4" ht="15.75" customHeight="1" x14ac:dyDescent="0.15">
      <c r="B253" s="297">
        <f t="shared" si="0"/>
        <v>44447</v>
      </c>
      <c r="C253" s="298"/>
      <c r="D253" s="298"/>
    </row>
    <row r="254" spans="2:4" ht="15.75" customHeight="1" x14ac:dyDescent="0.15">
      <c r="B254" s="297">
        <f t="shared" si="0"/>
        <v>44448</v>
      </c>
      <c r="C254" s="298"/>
      <c r="D254" s="298"/>
    </row>
    <row r="255" spans="2:4" ht="15.75" customHeight="1" x14ac:dyDescent="0.15">
      <c r="B255" s="297">
        <f t="shared" si="0"/>
        <v>44449</v>
      </c>
      <c r="C255" s="298"/>
      <c r="D255" s="298"/>
    </row>
    <row r="256" spans="2:4" ht="15.75" customHeight="1" x14ac:dyDescent="0.15">
      <c r="B256" s="297">
        <f t="shared" si="0"/>
        <v>44450</v>
      </c>
      <c r="C256" s="298"/>
      <c r="D256" s="298"/>
    </row>
    <row r="257" spans="2:4" ht="15.75" customHeight="1" x14ac:dyDescent="0.15">
      <c r="B257" s="297">
        <f t="shared" si="0"/>
        <v>44451</v>
      </c>
      <c r="C257" s="298"/>
      <c r="D257" s="298"/>
    </row>
    <row r="258" spans="2:4" ht="15.75" customHeight="1" x14ac:dyDescent="0.15">
      <c r="B258" s="297">
        <f t="shared" si="0"/>
        <v>44452</v>
      </c>
      <c r="C258" s="298"/>
      <c r="D258" s="298"/>
    </row>
    <row r="259" spans="2:4" ht="15.75" customHeight="1" x14ac:dyDescent="0.15">
      <c r="B259" s="297">
        <f t="shared" ref="B259:B368" si="1">B258+1</f>
        <v>44453</v>
      </c>
      <c r="C259" s="298"/>
      <c r="D259" s="298"/>
    </row>
    <row r="260" spans="2:4" ht="15.75" customHeight="1" x14ac:dyDescent="0.15">
      <c r="B260" s="297">
        <f t="shared" si="1"/>
        <v>44454</v>
      </c>
      <c r="C260" s="298"/>
      <c r="D260" s="298"/>
    </row>
    <row r="261" spans="2:4" ht="15.75" customHeight="1" x14ac:dyDescent="0.15">
      <c r="B261" s="297">
        <f t="shared" si="1"/>
        <v>44455</v>
      </c>
      <c r="C261" s="298"/>
      <c r="D261" s="298"/>
    </row>
    <row r="262" spans="2:4" ht="15.75" customHeight="1" x14ac:dyDescent="0.15">
      <c r="B262" s="297">
        <f t="shared" si="1"/>
        <v>44456</v>
      </c>
      <c r="C262" s="298"/>
      <c r="D262" s="298"/>
    </row>
    <row r="263" spans="2:4" ht="15.75" customHeight="1" x14ac:dyDescent="0.15">
      <c r="B263" s="297">
        <f t="shared" si="1"/>
        <v>44457</v>
      </c>
      <c r="C263" s="298"/>
      <c r="D263" s="298"/>
    </row>
    <row r="264" spans="2:4" ht="15.75" customHeight="1" x14ac:dyDescent="0.15">
      <c r="B264" s="297">
        <f t="shared" si="1"/>
        <v>44458</v>
      </c>
      <c r="C264" s="298"/>
      <c r="D264" s="298"/>
    </row>
    <row r="265" spans="2:4" ht="15.75" customHeight="1" x14ac:dyDescent="0.15">
      <c r="B265" s="297">
        <f t="shared" si="1"/>
        <v>44459</v>
      </c>
      <c r="C265" s="298"/>
      <c r="D265" s="298"/>
    </row>
    <row r="266" spans="2:4" ht="15.75" customHeight="1" x14ac:dyDescent="0.15">
      <c r="B266" s="297">
        <f t="shared" si="1"/>
        <v>44460</v>
      </c>
      <c r="C266" s="298"/>
      <c r="D266" s="298"/>
    </row>
    <row r="267" spans="2:4" ht="15.75" customHeight="1" x14ac:dyDescent="0.15">
      <c r="B267" s="297">
        <f t="shared" si="1"/>
        <v>44461</v>
      </c>
      <c r="C267" s="298"/>
      <c r="D267" s="298"/>
    </row>
    <row r="268" spans="2:4" ht="15.75" customHeight="1" x14ac:dyDescent="0.15">
      <c r="B268" s="297">
        <f t="shared" si="1"/>
        <v>44462</v>
      </c>
      <c r="C268" s="298"/>
      <c r="D268" s="298"/>
    </row>
    <row r="269" spans="2:4" ht="15.75" customHeight="1" x14ac:dyDescent="0.15">
      <c r="B269" s="297">
        <f t="shared" si="1"/>
        <v>44463</v>
      </c>
      <c r="C269" s="298"/>
      <c r="D269" s="298"/>
    </row>
    <row r="270" spans="2:4" ht="15.75" customHeight="1" x14ac:dyDescent="0.15">
      <c r="B270" s="297">
        <f t="shared" si="1"/>
        <v>44464</v>
      </c>
      <c r="C270" s="298"/>
      <c r="D270" s="298"/>
    </row>
    <row r="271" spans="2:4" ht="15.75" customHeight="1" x14ac:dyDescent="0.15">
      <c r="B271" s="297">
        <f t="shared" si="1"/>
        <v>44465</v>
      </c>
      <c r="C271" s="298"/>
      <c r="D271" s="298"/>
    </row>
    <row r="272" spans="2:4" ht="15.75" customHeight="1" x14ac:dyDescent="0.15">
      <c r="B272" s="297">
        <f t="shared" si="1"/>
        <v>44466</v>
      </c>
      <c r="C272" s="298"/>
      <c r="D272" s="298"/>
    </row>
    <row r="273" spans="2:4" ht="15.75" customHeight="1" x14ac:dyDescent="0.15">
      <c r="B273" s="297">
        <f t="shared" si="1"/>
        <v>44467</v>
      </c>
      <c r="C273" s="298"/>
      <c r="D273" s="298"/>
    </row>
    <row r="274" spans="2:4" ht="15.75" customHeight="1" x14ac:dyDescent="0.15">
      <c r="B274" s="297">
        <f t="shared" si="1"/>
        <v>44468</v>
      </c>
      <c r="C274" s="298"/>
      <c r="D274" s="298"/>
    </row>
    <row r="275" spans="2:4" ht="15.75" customHeight="1" x14ac:dyDescent="0.15">
      <c r="B275" s="297">
        <f t="shared" si="1"/>
        <v>44469</v>
      </c>
      <c r="C275" s="298"/>
      <c r="D275" s="298"/>
    </row>
    <row r="276" spans="2:4" ht="15.75" customHeight="1" x14ac:dyDescent="0.15">
      <c r="B276" s="297">
        <f t="shared" si="1"/>
        <v>44470</v>
      </c>
      <c r="C276" s="298"/>
      <c r="D276" s="298"/>
    </row>
    <row r="277" spans="2:4" ht="15.75" customHeight="1" x14ac:dyDescent="0.15">
      <c r="B277" s="297">
        <f t="shared" si="1"/>
        <v>44471</v>
      </c>
      <c r="C277" s="298"/>
      <c r="D277" s="298"/>
    </row>
    <row r="278" spans="2:4" ht="15.75" customHeight="1" x14ac:dyDescent="0.15">
      <c r="B278" s="297">
        <f t="shared" si="1"/>
        <v>44472</v>
      </c>
      <c r="C278" s="298"/>
      <c r="D278" s="298"/>
    </row>
    <row r="279" spans="2:4" ht="15.75" customHeight="1" x14ac:dyDescent="0.15">
      <c r="B279" s="297">
        <f t="shared" si="1"/>
        <v>44473</v>
      </c>
      <c r="C279" s="298"/>
      <c r="D279" s="298"/>
    </row>
    <row r="280" spans="2:4" ht="15.75" customHeight="1" x14ac:dyDescent="0.15">
      <c r="B280" s="297">
        <f t="shared" si="1"/>
        <v>44474</v>
      </c>
      <c r="C280" s="298"/>
      <c r="D280" s="298"/>
    </row>
    <row r="281" spans="2:4" ht="15.75" customHeight="1" x14ac:dyDescent="0.15">
      <c r="B281" s="297">
        <f t="shared" si="1"/>
        <v>44475</v>
      </c>
      <c r="C281" s="298"/>
      <c r="D281" s="298"/>
    </row>
    <row r="282" spans="2:4" ht="15.75" customHeight="1" x14ac:dyDescent="0.15">
      <c r="B282" s="297">
        <f t="shared" si="1"/>
        <v>44476</v>
      </c>
      <c r="C282" s="298"/>
      <c r="D282" s="298"/>
    </row>
    <row r="283" spans="2:4" ht="15.75" customHeight="1" x14ac:dyDescent="0.15">
      <c r="B283" s="297">
        <f t="shared" si="1"/>
        <v>44477</v>
      </c>
      <c r="C283" s="298"/>
      <c r="D283" s="298"/>
    </row>
    <row r="284" spans="2:4" ht="15.75" customHeight="1" x14ac:dyDescent="0.15">
      <c r="B284" s="297">
        <f t="shared" si="1"/>
        <v>44478</v>
      </c>
      <c r="C284" s="298"/>
      <c r="D284" s="298"/>
    </row>
    <row r="285" spans="2:4" ht="15.75" customHeight="1" x14ac:dyDescent="0.15">
      <c r="B285" s="297">
        <f t="shared" si="1"/>
        <v>44479</v>
      </c>
      <c r="C285" s="298"/>
      <c r="D285" s="298"/>
    </row>
    <row r="286" spans="2:4" ht="15.75" customHeight="1" x14ac:dyDescent="0.15">
      <c r="B286" s="297">
        <f t="shared" si="1"/>
        <v>44480</v>
      </c>
      <c r="C286" s="298"/>
      <c r="D286" s="298"/>
    </row>
    <row r="287" spans="2:4" ht="15.75" customHeight="1" x14ac:dyDescent="0.15">
      <c r="B287" s="297">
        <f t="shared" si="1"/>
        <v>44481</v>
      </c>
      <c r="C287" s="298"/>
      <c r="D287" s="298"/>
    </row>
    <row r="288" spans="2:4" ht="15.75" customHeight="1" x14ac:dyDescent="0.15">
      <c r="B288" s="297">
        <f t="shared" si="1"/>
        <v>44482</v>
      </c>
      <c r="C288" s="298"/>
      <c r="D288" s="298"/>
    </row>
    <row r="289" spans="2:4" ht="15.75" customHeight="1" x14ac:dyDescent="0.15">
      <c r="B289" s="297">
        <f t="shared" si="1"/>
        <v>44483</v>
      </c>
      <c r="C289" s="298"/>
      <c r="D289" s="298"/>
    </row>
    <row r="290" spans="2:4" ht="15.75" customHeight="1" x14ac:dyDescent="0.15">
      <c r="B290" s="297">
        <f t="shared" si="1"/>
        <v>44484</v>
      </c>
      <c r="C290" s="298"/>
      <c r="D290" s="298"/>
    </row>
    <row r="291" spans="2:4" ht="15.75" customHeight="1" x14ac:dyDescent="0.15">
      <c r="B291" s="297">
        <f t="shared" si="1"/>
        <v>44485</v>
      </c>
      <c r="C291" s="298"/>
      <c r="D291" s="298"/>
    </row>
    <row r="292" spans="2:4" ht="15.75" customHeight="1" x14ac:dyDescent="0.15">
      <c r="B292" s="297">
        <f t="shared" si="1"/>
        <v>44486</v>
      </c>
      <c r="C292" s="298"/>
      <c r="D292" s="298"/>
    </row>
    <row r="293" spans="2:4" ht="15.75" customHeight="1" x14ac:dyDescent="0.15">
      <c r="B293" s="297">
        <f t="shared" si="1"/>
        <v>44487</v>
      </c>
      <c r="C293" s="298"/>
      <c r="D293" s="298"/>
    </row>
    <row r="294" spans="2:4" ht="15.75" customHeight="1" x14ac:dyDescent="0.15">
      <c r="B294" s="297">
        <f t="shared" si="1"/>
        <v>44488</v>
      </c>
      <c r="C294" s="298"/>
      <c r="D294" s="298"/>
    </row>
    <row r="295" spans="2:4" ht="15.75" customHeight="1" x14ac:dyDescent="0.15">
      <c r="B295" s="297">
        <f t="shared" si="1"/>
        <v>44489</v>
      </c>
      <c r="C295" s="298"/>
      <c r="D295" s="298"/>
    </row>
    <row r="296" spans="2:4" ht="15.75" customHeight="1" x14ac:dyDescent="0.15">
      <c r="B296" s="297">
        <f t="shared" si="1"/>
        <v>44490</v>
      </c>
      <c r="C296" s="298"/>
      <c r="D296" s="298"/>
    </row>
    <row r="297" spans="2:4" ht="15.75" customHeight="1" x14ac:dyDescent="0.15">
      <c r="B297" s="297">
        <f t="shared" si="1"/>
        <v>44491</v>
      </c>
      <c r="C297" s="298"/>
      <c r="D297" s="298"/>
    </row>
    <row r="298" spans="2:4" ht="15.75" customHeight="1" x14ac:dyDescent="0.15">
      <c r="B298" s="297">
        <f t="shared" si="1"/>
        <v>44492</v>
      </c>
      <c r="C298" s="298"/>
      <c r="D298" s="298"/>
    </row>
    <row r="299" spans="2:4" ht="15.75" customHeight="1" x14ac:dyDescent="0.15">
      <c r="B299" s="297">
        <f t="shared" si="1"/>
        <v>44493</v>
      </c>
      <c r="C299" s="298"/>
      <c r="D299" s="298"/>
    </row>
    <row r="300" spans="2:4" ht="15.75" customHeight="1" x14ac:dyDescent="0.15">
      <c r="B300" s="297">
        <f t="shared" si="1"/>
        <v>44494</v>
      </c>
      <c r="C300" s="298"/>
      <c r="D300" s="298"/>
    </row>
    <row r="301" spans="2:4" ht="15.75" customHeight="1" x14ac:dyDescent="0.15">
      <c r="B301" s="297">
        <f t="shared" si="1"/>
        <v>44495</v>
      </c>
      <c r="C301" s="298"/>
      <c r="D301" s="298"/>
    </row>
    <row r="302" spans="2:4" ht="15.75" customHeight="1" x14ac:dyDescent="0.15">
      <c r="B302" s="297">
        <f t="shared" si="1"/>
        <v>44496</v>
      </c>
      <c r="C302" s="298"/>
      <c r="D302" s="298"/>
    </row>
    <row r="303" spans="2:4" ht="15.75" customHeight="1" x14ac:dyDescent="0.15">
      <c r="B303" s="297">
        <f t="shared" si="1"/>
        <v>44497</v>
      </c>
      <c r="C303" s="298"/>
      <c r="D303" s="298"/>
    </row>
    <row r="304" spans="2:4" ht="15.75" customHeight="1" x14ac:dyDescent="0.15">
      <c r="B304" s="297">
        <f t="shared" si="1"/>
        <v>44498</v>
      </c>
      <c r="C304" s="298"/>
      <c r="D304" s="298"/>
    </row>
    <row r="305" spans="2:4" ht="15.75" customHeight="1" x14ac:dyDescent="0.15">
      <c r="B305" s="297">
        <f t="shared" si="1"/>
        <v>44499</v>
      </c>
      <c r="C305" s="298"/>
      <c r="D305" s="298"/>
    </row>
    <row r="306" spans="2:4" ht="15.75" customHeight="1" x14ac:dyDescent="0.15">
      <c r="B306" s="297">
        <f t="shared" si="1"/>
        <v>44500</v>
      </c>
      <c r="C306" s="298"/>
      <c r="D306" s="298"/>
    </row>
    <row r="307" spans="2:4" ht="15.75" customHeight="1" x14ac:dyDescent="0.15">
      <c r="B307" s="297">
        <f t="shared" si="1"/>
        <v>44501</v>
      </c>
      <c r="C307" s="298"/>
      <c r="D307" s="298"/>
    </row>
    <row r="308" spans="2:4" ht="15.75" customHeight="1" x14ac:dyDescent="0.15">
      <c r="B308" s="297">
        <f t="shared" si="1"/>
        <v>44502</v>
      </c>
      <c r="C308" s="298"/>
      <c r="D308" s="298"/>
    </row>
    <row r="309" spans="2:4" ht="15.75" customHeight="1" x14ac:dyDescent="0.15">
      <c r="B309" s="297">
        <f t="shared" si="1"/>
        <v>44503</v>
      </c>
      <c r="C309" s="298"/>
      <c r="D309" s="298"/>
    </row>
    <row r="310" spans="2:4" ht="15.75" customHeight="1" x14ac:dyDescent="0.15">
      <c r="B310" s="297">
        <f t="shared" si="1"/>
        <v>44504</v>
      </c>
      <c r="C310" s="298"/>
      <c r="D310" s="298"/>
    </row>
    <row r="311" spans="2:4" ht="15.75" customHeight="1" x14ac:dyDescent="0.15">
      <c r="B311" s="297">
        <f t="shared" si="1"/>
        <v>44505</v>
      </c>
      <c r="C311" s="298"/>
      <c r="D311" s="298"/>
    </row>
    <row r="312" spans="2:4" ht="15.75" customHeight="1" x14ac:dyDescent="0.15">
      <c r="B312" s="297">
        <f t="shared" si="1"/>
        <v>44506</v>
      </c>
      <c r="C312" s="298"/>
      <c r="D312" s="298"/>
    </row>
    <row r="313" spans="2:4" ht="15.75" customHeight="1" x14ac:dyDescent="0.15">
      <c r="B313" s="297">
        <f t="shared" si="1"/>
        <v>44507</v>
      </c>
      <c r="C313" s="298"/>
      <c r="D313" s="298"/>
    </row>
    <row r="314" spans="2:4" ht="15.75" customHeight="1" x14ac:dyDescent="0.15">
      <c r="B314" s="297">
        <f t="shared" si="1"/>
        <v>44508</v>
      </c>
      <c r="C314" s="298"/>
      <c r="D314" s="298"/>
    </row>
    <row r="315" spans="2:4" ht="15.75" customHeight="1" x14ac:dyDescent="0.15">
      <c r="B315" s="297">
        <f t="shared" si="1"/>
        <v>44509</v>
      </c>
      <c r="C315" s="298"/>
      <c r="D315" s="298"/>
    </row>
    <row r="316" spans="2:4" ht="15.75" customHeight="1" x14ac:dyDescent="0.15">
      <c r="B316" s="297">
        <f t="shared" si="1"/>
        <v>44510</v>
      </c>
      <c r="C316" s="298"/>
      <c r="D316" s="298"/>
    </row>
    <row r="317" spans="2:4" ht="15.75" customHeight="1" x14ac:dyDescent="0.15">
      <c r="B317" s="297">
        <f t="shared" si="1"/>
        <v>44511</v>
      </c>
      <c r="C317" s="298"/>
      <c r="D317" s="298"/>
    </row>
    <row r="318" spans="2:4" ht="15.75" customHeight="1" x14ac:dyDescent="0.15">
      <c r="B318" s="297">
        <f t="shared" si="1"/>
        <v>44512</v>
      </c>
      <c r="C318" s="298"/>
      <c r="D318" s="298"/>
    </row>
    <row r="319" spans="2:4" ht="15.75" customHeight="1" x14ac:dyDescent="0.15">
      <c r="B319" s="297">
        <f t="shared" si="1"/>
        <v>44513</v>
      </c>
      <c r="C319" s="298"/>
      <c r="D319" s="298"/>
    </row>
    <row r="320" spans="2:4" ht="15.75" customHeight="1" x14ac:dyDescent="0.15">
      <c r="B320" s="297">
        <f t="shared" si="1"/>
        <v>44514</v>
      </c>
      <c r="C320" s="298"/>
      <c r="D320" s="298"/>
    </row>
    <row r="321" spans="2:4" ht="15.75" customHeight="1" x14ac:dyDescent="0.15">
      <c r="B321" s="297">
        <f t="shared" si="1"/>
        <v>44515</v>
      </c>
      <c r="C321" s="298"/>
      <c r="D321" s="298"/>
    </row>
    <row r="322" spans="2:4" ht="15.75" customHeight="1" x14ac:dyDescent="0.15">
      <c r="B322" s="297">
        <f t="shared" si="1"/>
        <v>44516</v>
      </c>
      <c r="C322" s="298"/>
      <c r="D322" s="298"/>
    </row>
    <row r="323" spans="2:4" ht="15.75" customHeight="1" x14ac:dyDescent="0.15">
      <c r="B323" s="297">
        <f t="shared" si="1"/>
        <v>44517</v>
      </c>
      <c r="C323" s="298"/>
      <c r="D323" s="298"/>
    </row>
    <row r="324" spans="2:4" ht="15.75" customHeight="1" x14ac:dyDescent="0.15">
      <c r="B324" s="297">
        <f t="shared" si="1"/>
        <v>44518</v>
      </c>
      <c r="C324" s="298"/>
      <c r="D324" s="298"/>
    </row>
    <row r="325" spans="2:4" ht="15.75" customHeight="1" x14ac:dyDescent="0.15">
      <c r="B325" s="297">
        <f t="shared" si="1"/>
        <v>44519</v>
      </c>
      <c r="C325" s="298"/>
      <c r="D325" s="298"/>
    </row>
    <row r="326" spans="2:4" ht="15.75" customHeight="1" x14ac:dyDescent="0.15">
      <c r="B326" s="297">
        <f t="shared" si="1"/>
        <v>44520</v>
      </c>
      <c r="C326" s="298"/>
      <c r="D326" s="298"/>
    </row>
    <row r="327" spans="2:4" ht="15.75" customHeight="1" x14ac:dyDescent="0.15">
      <c r="B327" s="297">
        <f t="shared" si="1"/>
        <v>44521</v>
      </c>
      <c r="C327" s="298"/>
      <c r="D327" s="298"/>
    </row>
    <row r="328" spans="2:4" ht="15.75" customHeight="1" x14ac:dyDescent="0.15">
      <c r="B328" s="297">
        <f t="shared" si="1"/>
        <v>44522</v>
      </c>
      <c r="C328" s="298"/>
      <c r="D328" s="298"/>
    </row>
    <row r="329" spans="2:4" ht="15.75" customHeight="1" x14ac:dyDescent="0.15">
      <c r="B329" s="297">
        <f t="shared" si="1"/>
        <v>44523</v>
      </c>
      <c r="C329" s="298"/>
      <c r="D329" s="298"/>
    </row>
    <row r="330" spans="2:4" ht="15.75" customHeight="1" x14ac:dyDescent="0.15">
      <c r="B330" s="297">
        <f t="shared" si="1"/>
        <v>44524</v>
      </c>
      <c r="C330" s="298"/>
      <c r="D330" s="298"/>
    </row>
    <row r="331" spans="2:4" ht="15.75" customHeight="1" x14ac:dyDescent="0.15">
      <c r="B331" s="297">
        <f t="shared" si="1"/>
        <v>44525</v>
      </c>
      <c r="C331" s="298"/>
      <c r="D331" s="298"/>
    </row>
    <row r="332" spans="2:4" ht="15.75" customHeight="1" x14ac:dyDescent="0.15">
      <c r="B332" s="297">
        <f t="shared" si="1"/>
        <v>44526</v>
      </c>
      <c r="C332" s="298"/>
      <c r="D332" s="298"/>
    </row>
    <row r="333" spans="2:4" ht="15.75" customHeight="1" x14ac:dyDescent="0.15">
      <c r="B333" s="297">
        <f t="shared" si="1"/>
        <v>44527</v>
      </c>
      <c r="C333" s="298"/>
      <c r="D333" s="298"/>
    </row>
    <row r="334" spans="2:4" ht="15.75" customHeight="1" x14ac:dyDescent="0.15">
      <c r="B334" s="297">
        <f t="shared" si="1"/>
        <v>44528</v>
      </c>
      <c r="C334" s="298"/>
      <c r="D334" s="298"/>
    </row>
    <row r="335" spans="2:4" ht="15.75" customHeight="1" x14ac:dyDescent="0.15">
      <c r="B335" s="297">
        <f t="shared" si="1"/>
        <v>44529</v>
      </c>
      <c r="C335" s="298"/>
      <c r="D335" s="298"/>
    </row>
    <row r="336" spans="2:4" ht="15.75" customHeight="1" x14ac:dyDescent="0.15">
      <c r="B336" s="297">
        <f t="shared" si="1"/>
        <v>44530</v>
      </c>
      <c r="C336" s="298"/>
      <c r="D336" s="298"/>
    </row>
    <row r="337" spans="2:4" ht="15.75" customHeight="1" x14ac:dyDescent="0.15">
      <c r="B337" s="297">
        <f t="shared" si="1"/>
        <v>44531</v>
      </c>
      <c r="C337" s="298"/>
      <c r="D337" s="298"/>
    </row>
    <row r="338" spans="2:4" ht="15.75" customHeight="1" x14ac:dyDescent="0.15">
      <c r="B338" s="297">
        <f t="shared" si="1"/>
        <v>44532</v>
      </c>
      <c r="C338" s="298"/>
      <c r="D338" s="298"/>
    </row>
    <row r="339" spans="2:4" ht="15.75" customHeight="1" x14ac:dyDescent="0.15">
      <c r="B339" s="297">
        <f t="shared" si="1"/>
        <v>44533</v>
      </c>
      <c r="C339" s="298"/>
      <c r="D339" s="298"/>
    </row>
    <row r="340" spans="2:4" ht="15.75" customHeight="1" x14ac:dyDescent="0.15">
      <c r="B340" s="297">
        <f t="shared" si="1"/>
        <v>44534</v>
      </c>
      <c r="C340" s="298"/>
      <c r="D340" s="298"/>
    </row>
    <row r="341" spans="2:4" ht="15.75" customHeight="1" x14ac:dyDescent="0.15">
      <c r="B341" s="297">
        <f t="shared" si="1"/>
        <v>44535</v>
      </c>
      <c r="C341" s="298"/>
      <c r="D341" s="298"/>
    </row>
    <row r="342" spans="2:4" ht="15.75" customHeight="1" x14ac:dyDescent="0.15">
      <c r="B342" s="297">
        <f t="shared" si="1"/>
        <v>44536</v>
      </c>
      <c r="C342" s="298"/>
      <c r="D342" s="298"/>
    </row>
    <row r="343" spans="2:4" ht="15.75" customHeight="1" x14ac:dyDescent="0.15">
      <c r="B343" s="297">
        <f t="shared" si="1"/>
        <v>44537</v>
      </c>
      <c r="C343" s="298"/>
      <c r="D343" s="298"/>
    </row>
    <row r="344" spans="2:4" ht="15.75" customHeight="1" x14ac:dyDescent="0.15">
      <c r="B344" s="297">
        <f t="shared" si="1"/>
        <v>44538</v>
      </c>
      <c r="C344" s="298"/>
      <c r="D344" s="298"/>
    </row>
    <row r="345" spans="2:4" ht="15.75" customHeight="1" x14ac:dyDescent="0.15">
      <c r="B345" s="297">
        <f t="shared" si="1"/>
        <v>44539</v>
      </c>
      <c r="C345" s="298"/>
      <c r="D345" s="298"/>
    </row>
    <row r="346" spans="2:4" ht="15.75" customHeight="1" x14ac:dyDescent="0.15">
      <c r="B346" s="297">
        <f t="shared" si="1"/>
        <v>44540</v>
      </c>
      <c r="C346" s="298"/>
      <c r="D346" s="298"/>
    </row>
    <row r="347" spans="2:4" ht="15.75" customHeight="1" x14ac:dyDescent="0.15">
      <c r="B347" s="297">
        <f t="shared" si="1"/>
        <v>44541</v>
      </c>
      <c r="C347" s="298"/>
      <c r="D347" s="298"/>
    </row>
    <row r="348" spans="2:4" ht="15.75" customHeight="1" x14ac:dyDescent="0.15">
      <c r="B348" s="297">
        <f t="shared" si="1"/>
        <v>44542</v>
      </c>
      <c r="C348" s="298"/>
      <c r="D348" s="298"/>
    </row>
    <row r="349" spans="2:4" ht="15.75" customHeight="1" x14ac:dyDescent="0.15">
      <c r="B349" s="297">
        <f t="shared" si="1"/>
        <v>44543</v>
      </c>
      <c r="C349" s="298"/>
      <c r="D349" s="298"/>
    </row>
    <row r="350" spans="2:4" ht="15.75" customHeight="1" x14ac:dyDescent="0.15">
      <c r="B350" s="297">
        <f t="shared" si="1"/>
        <v>44544</v>
      </c>
      <c r="C350" s="298"/>
      <c r="D350" s="298"/>
    </row>
    <row r="351" spans="2:4" ht="15.75" customHeight="1" x14ac:dyDescent="0.15">
      <c r="B351" s="297">
        <f t="shared" si="1"/>
        <v>44545</v>
      </c>
      <c r="C351" s="298"/>
      <c r="D351" s="298"/>
    </row>
    <row r="352" spans="2:4" ht="15.75" customHeight="1" x14ac:dyDescent="0.15">
      <c r="B352" s="297">
        <f t="shared" si="1"/>
        <v>44546</v>
      </c>
      <c r="C352" s="298"/>
      <c r="D352" s="298"/>
    </row>
    <row r="353" spans="2:4" ht="15.75" customHeight="1" x14ac:dyDescent="0.15">
      <c r="B353" s="297">
        <f t="shared" si="1"/>
        <v>44547</v>
      </c>
      <c r="C353" s="298"/>
      <c r="D353" s="298"/>
    </row>
    <row r="354" spans="2:4" ht="15.75" customHeight="1" x14ac:dyDescent="0.15">
      <c r="B354" s="297">
        <f t="shared" si="1"/>
        <v>44548</v>
      </c>
      <c r="C354" s="298"/>
      <c r="D354" s="298"/>
    </row>
    <row r="355" spans="2:4" ht="15.75" customHeight="1" x14ac:dyDescent="0.15">
      <c r="B355" s="297">
        <f t="shared" si="1"/>
        <v>44549</v>
      </c>
      <c r="C355" s="298"/>
      <c r="D355" s="298"/>
    </row>
    <row r="356" spans="2:4" ht="15.75" customHeight="1" x14ac:dyDescent="0.15">
      <c r="B356" s="297">
        <f t="shared" si="1"/>
        <v>44550</v>
      </c>
      <c r="C356" s="298"/>
      <c r="D356" s="298"/>
    </row>
    <row r="357" spans="2:4" ht="15.75" customHeight="1" x14ac:dyDescent="0.15">
      <c r="B357" s="297">
        <f t="shared" si="1"/>
        <v>44551</v>
      </c>
      <c r="C357" s="298"/>
      <c r="D357" s="298"/>
    </row>
    <row r="358" spans="2:4" ht="15.75" customHeight="1" x14ac:dyDescent="0.15">
      <c r="B358" s="297">
        <f t="shared" si="1"/>
        <v>44552</v>
      </c>
      <c r="C358" s="298"/>
      <c r="D358" s="298"/>
    </row>
    <row r="359" spans="2:4" ht="15.75" customHeight="1" x14ac:dyDescent="0.15">
      <c r="B359" s="297">
        <f t="shared" si="1"/>
        <v>44553</v>
      </c>
      <c r="C359" s="298"/>
      <c r="D359" s="298"/>
    </row>
    <row r="360" spans="2:4" ht="15.75" customHeight="1" x14ac:dyDescent="0.15">
      <c r="B360" s="297">
        <f t="shared" si="1"/>
        <v>44554</v>
      </c>
      <c r="C360" s="298"/>
      <c r="D360" s="298"/>
    </row>
    <row r="361" spans="2:4" ht="15.75" customHeight="1" x14ac:dyDescent="0.15">
      <c r="B361" s="297">
        <f t="shared" si="1"/>
        <v>44555</v>
      </c>
      <c r="C361" s="298"/>
      <c r="D361" s="298"/>
    </row>
    <row r="362" spans="2:4" ht="15.75" customHeight="1" x14ac:dyDescent="0.15">
      <c r="B362" s="297">
        <f t="shared" si="1"/>
        <v>44556</v>
      </c>
      <c r="C362" s="298"/>
      <c r="D362" s="298"/>
    </row>
    <row r="363" spans="2:4" ht="15.75" customHeight="1" x14ac:dyDescent="0.15">
      <c r="B363" s="297">
        <f t="shared" si="1"/>
        <v>44557</v>
      </c>
      <c r="C363" s="298"/>
      <c r="D363" s="298"/>
    </row>
    <row r="364" spans="2:4" ht="15.75" customHeight="1" x14ac:dyDescent="0.15">
      <c r="B364" s="297">
        <f t="shared" si="1"/>
        <v>44558</v>
      </c>
      <c r="C364" s="298"/>
      <c r="D364" s="298"/>
    </row>
    <row r="365" spans="2:4" ht="15.75" customHeight="1" x14ac:dyDescent="0.15">
      <c r="B365" s="297">
        <f t="shared" si="1"/>
        <v>44559</v>
      </c>
      <c r="C365" s="298"/>
      <c r="D365" s="298"/>
    </row>
    <row r="366" spans="2:4" ht="15.75" customHeight="1" x14ac:dyDescent="0.15">
      <c r="B366" s="297">
        <f t="shared" si="1"/>
        <v>44560</v>
      </c>
      <c r="C366" s="298"/>
      <c r="D366" s="298"/>
    </row>
    <row r="367" spans="2:4" ht="15.75" customHeight="1" x14ac:dyDescent="0.15">
      <c r="B367" s="297">
        <f t="shared" si="1"/>
        <v>44561</v>
      </c>
      <c r="C367" s="298"/>
      <c r="D367" s="298"/>
    </row>
    <row r="368" spans="2:4" ht="15.75" customHeight="1" x14ac:dyDescent="0.15">
      <c r="B368" s="297">
        <f t="shared" si="1"/>
        <v>44562</v>
      </c>
      <c r="C368" s="298"/>
      <c r="D368" s="298"/>
    </row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46" type="noConversion"/>
  <pageMargins left="0.70078740157480324" right="0.70078740157480324" top="0.75196850393700787" bottom="0.7519685039370078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Project TRS V_01</vt:lpstr>
      <vt:lpstr>CMC</vt:lpstr>
      <vt:lpstr>Monetary Policy</vt:lpstr>
      <vt:lpstr>InvestorInsiders Breakdown</vt:lpstr>
      <vt:lpstr>Sheet2</vt:lpstr>
      <vt:lpstr>Token Template Model</vt:lpstr>
      <vt:lpstr>Simple Model</vt:lpstr>
      <vt:lpstr>Monetary Policy Detail</vt:lpstr>
      <vt:lpstr>Platform stats - Users adoption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Lee</cp:lastModifiedBy>
  <dcterms:modified xsi:type="dcterms:W3CDTF">2025-08-07T08:18:55Z</dcterms:modified>
</cp:coreProperties>
</file>